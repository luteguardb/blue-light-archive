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2b07b427b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개_장소" sheetId="1" r:id="Rd5ad7e17a50c4004"/>
    <x:sheet xmlns:r="http://schemas.openxmlformats.org/officeDocument/2006/relationships" name="방법_근거" sheetId="2" r:id="R018b603559e74f9e"/>
    <x:sheet xmlns:r="http://schemas.openxmlformats.org/officeDocument/2006/relationships" name="Top15_요약" sheetId="3" r:id="R269748525447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33f890f5d41d1" /><Relationship Type="http://schemas.openxmlformats.org/officeDocument/2006/relationships/theme" Target="/xl/theme/theme1.xml" Id="Rd15088287c2c49c3" /><Relationship Type="http://schemas.openxmlformats.org/officeDocument/2006/relationships/sharedStrings" Target="/xl/sharedStrings.xml" Id="Re34cd5e699194148" /><Relationship Type="http://schemas.openxmlformats.org/officeDocument/2006/relationships/worksheet" Target="/xl/worksheets/sheet1.xml" Id="Rd5ad7e17a50c4004" /><Relationship Type="http://schemas.openxmlformats.org/officeDocument/2006/relationships/worksheet" Target="/xl/worksheets/sheet2.xml" Id="R018b603559e74f9e" /><Relationship Type="http://schemas.openxmlformats.org/officeDocument/2006/relationships/worksheet" Target="/xl/worksheets/sheet3.xml" Id="R26974852544745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44d328dcd94e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상위 15개 장소: 추정 최대 블루라이트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대분류</c:v>
          </c:tx>
          <c:cat>
            <c:strRef>
              <c:f>'Top15_요약'!$B$4:$B$18</c:f>
              <c:strCache>
                <c:ptCount val="0"/>
              </c:strCache>
            </c:strRef>
          </c:cat>
          <c:val>
            <c:numRef>
              <c:f>'Top15_요약'!$C$4:$C$18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최대 조도(lx)</c:v>
          </c:tx>
          <c:cat>
            <c:strRef>
              <c:f>'Top15_요약'!$B$4:$B$18</c:f>
              <c:strCache>
                <c:ptCount val="0"/>
              </c:strCache>
            </c:strRef>
          </c:cat>
          <c:val>
            <c:numRef>
              <c:f>'Top15_요약'!$D$4:$D$18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추정 최대 블루라이트 (µW/cm²)</c:v>
          </c:tx>
          <c:cat>
            <c:strRef>
              <c:f>'Top15_요약'!$B$4:$B$18</c:f>
              <c:strCache>
                <c:ptCount val="0"/>
              </c:strCache>
            </c:strRef>
          </c:cat>
          <c:val>
            <c:numRef>
              <c:f>'Top15_요약'!$E$4:$E$18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44d328dcd94e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lueLightPlacesTable" displayName="BlueLightPlacesTable" ref="A4:P104" headerRowCount="1" totalsRowCount="0" totalsRowShown="0">
  <x:tableColumns count="16">
    <x:tableColumn id="1" name="No."/>
    <x:tableColumn id="2" name="대분류"/>
    <x:tableColumn id="3" name="장소"/>
    <x:tableColumn id="4" name="조도 범위 (lx)"/>
    <x:tableColumn id="5" name="최소 lx"/>
    <x:tableColumn id="6" name="최대 lx"/>
    <x:tableColumn id="7" name="조명 톤(CCT 가정)"/>
    <x:tableColumn id="8" name="계수_min&#10;(µW/cm²/lx)"/>
    <x:tableColumn id="9" name="계수_max&#10;(µW/cm²/lx)"/>
    <x:tableColumn id="10" name="추정 블루라이트 최소&#10;(µW/cm²)"/>
    <x:tableColumn id="11" name="추정 블루라이트 최대&#10;(µW/cm²)"/>
    <x:tableColumn id="12" name="추정 중간값&#10;(µW/cm²)"/>
    <x:tableColumn id="13" name="1시간 누적량&#10;(J/cm²)"/>
    <x:tableColumn id="14" name="상대 노출 수준"/>
    <x:tableColumn id="15" name="비고"/>
    <x:tableColumn id="16" name="근거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3aa75132354a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b8f4cff590a440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3" hidden="0" customWidth="1"/>
    <x:col min="4" max="4" width="18" hidden="0" customWidth="1"/>
    <x:col min="5" max="5" width="9" hidden="0" customWidth="1"/>
    <x:col min="6" max="6" width="9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3" hidden="0" customWidth="1"/>
    <x:col min="15" max="15" width="34" hidden="0" customWidth="1"/>
    <x:col min="16" max="16" width="48" hidden="0" customWidth="1"/>
  </x:cols>
  <x:sheetData>
    <x:row r="1" ht="28" customHeight="1">
      <x:c r="A1" s="5" t="str">
        <x:v>실내 장소 100개 블루라이트(400–500 nm) 스크리닝 추정표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3" t="str">
        <x:v>주의: 아래 블루라이트 값은 현장 실측값이 아니라, 공개된 조도 기준/현장 조도 자료와 문헌의 실내 청색광-조도 관계를 이용한 ‘비교용 추정치’입니다. 실제 수치는 조명 SPD, 색온도, 거리, 방향, 창문 자연광, 디스플레이 밝기에 따라 크게 달라집니다.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8" customHeight="1">
      <x:c r="A4" s="22" t="str">
        <x:v>No.</x:v>
      </x:c>
      <x:c r="B4" s="22" t="str">
        <x:v>대분류</x:v>
      </x:c>
      <x:c r="C4" s="22" t="str">
        <x:v>장소</x:v>
      </x:c>
      <x:c r="D4" s="22" t="str">
        <x:v>조도 범위 (lx)</x:v>
      </x:c>
      <x:c r="E4" s="22" t="str">
        <x:v>최소 lx</x:v>
      </x:c>
      <x:c r="F4" s="22" t="str">
        <x:v>최대 lx</x:v>
      </x:c>
      <x:c r="G4" s="22" t="str">
        <x:v>조명 톤(CCT 가정)</x:v>
      </x:c>
      <x:c r="H4" s="22" t="str">
        <x:v>계수_min
(µW/cm²/lx)</x:v>
      </x:c>
      <x:c r="I4" s="22" t="str">
        <x:v>계수_max
(µW/cm²/lx)</x:v>
      </x:c>
      <x:c r="J4" s="22" t="str">
        <x:v>추정 블루라이트 최소
(µW/cm²)</x:v>
      </x:c>
      <x:c r="K4" s="22" t="str">
        <x:v>추정 블루라이트 최대
(µW/cm²)</x:v>
      </x:c>
      <x:c r="L4" s="22" t="str">
        <x:v>추정 중간값
(µW/cm²)</x:v>
      </x:c>
      <x:c r="M4" s="22" t="str">
        <x:v>1시간 누적량
(J/cm²)</x:v>
      </x:c>
      <x:c r="N4" s="22" t="str">
        <x:v>상대 노출 수준</x:v>
      </x:c>
      <x:c r="O4" s="22" t="str">
        <x:v>비고</x:v>
      </x:c>
      <x:c r="P4" s="22" t="str">
        <x:v>근거 URL</x:v>
      </x:c>
    </x:row>
    <x:row r="5">
      <x:c r="A5" s="32" t="n">
        <x:v>1</x:v>
      </x:c>
      <x:c r="B5" s="32" t="str">
        <x:v>리테일·상업</x:v>
      </x:c>
      <x:c r="C5" s="32" t="str">
        <x:v>백화점 일반 매장</x:v>
      </x:c>
      <x:c r="D5" s="32" t="str">
        <x:v>600–1500</x:v>
      </x:c>
      <x:c r="E5" s="38" t="n">
        <x:v>600</x:v>
      </x:c>
      <x:c r="F5" s="38" t="n">
        <x:v>1500</x:v>
      </x:c>
      <x:c r="G5" s="32" t="str">
        <x:v>Neutral</x:v>
      </x:c>
      <x:c r="H5" s="36" t="n">
        <x:v>0.06</x:v>
      </x:c>
      <x:c r="I5" s="36" t="n">
        <x:v>0.1</x:v>
      </x:c>
      <x:c r="J5" s="36" t="n">
        <x:f>E5*H5</x:f>
        <x:v>36</x:v>
      </x:c>
      <x:c r="K5" s="36" t="n">
        <x:f>F5*I5</x:f>
        <x:v>150</x:v>
      </x:c>
      <x:c r="L5" s="36" t="n">
        <x:f>(J5+K5)/2</x:f>
        <x:v>93</x:v>
      </x:c>
      <x:c r="M5" s="36" t="n">
        <x:f>L5*0.0036</x:f>
        <x:v>0.3348</x:v>
      </x:c>
      <x:c r="N5" s="32" t="str">
        <x:v>높음</x:v>
      </x:c>
      <x:c r="O5" s="34" t="str">
        <x:v>일반 판매·진열 공간</x:v>
      </x:c>
      <x:c r="P5" s="34" t="str">
        <x:v>https://journal.khousing.or.kr/articles/xml/q1wa/</x:v>
      </x:c>
    </x:row>
    <x:row r="6">
      <x:c r="A6" s="32" t="n">
        <x:v>2</x:v>
      </x:c>
      <x:c r="B6" s="32" t="str">
        <x:v>리테일·상업</x:v>
      </x:c>
      <x:c r="C6" s="32" t="str">
        <x:v>백화점 화장품 코너</x:v>
      </x:c>
      <x:c r="D6" s="32" t="str">
        <x:v>750–1500</x:v>
      </x:c>
      <x:c r="E6" s="38" t="n">
        <x:v>750</x:v>
      </x:c>
      <x:c r="F6" s="38" t="n">
        <x:v>1500</x:v>
      </x:c>
      <x:c r="G6" s="32" t="str">
        <x:v>Neutral</x:v>
      </x:c>
      <x:c r="H6" s="36" t="n">
        <x:v>0.06</x:v>
      </x:c>
      <x:c r="I6" s="36" t="n">
        <x:v>0.1</x:v>
      </x:c>
      <x:c r="J6" s="36" t="n">
        <x:f>E6*H6</x:f>
        <x:v>45</x:v>
      </x:c>
      <x:c r="K6" s="36" t="n">
        <x:f>F6*I6</x:f>
        <x:v>150</x:v>
      </x:c>
      <x:c r="L6" s="36" t="n">
        <x:f>(J6+K6)/2</x:f>
        <x:v>97.5</x:v>
      </x:c>
      <x:c r="M6" s="36" t="n">
        <x:f>L6*0.0036</x:f>
        <x:v>0.351</x:v>
      </x:c>
      <x:c r="N6" s="32" t="str">
        <x:v>높음</x:v>
      </x:c>
      <x:c r="O6" s="34" t="str">
        <x:v>고조도·고연색 진열이 흔함</x:v>
      </x:c>
      <x:c r="P6" s="34" t="str">
        <x:v>https://www.china-tasi.com/en/resourceCenterDetail/02e23bacee3b4b83903116fce05f62ff/</x:v>
      </x:c>
    </x:row>
    <x:row r="7">
      <x:c r="A7" s="32" t="n">
        <x:v>3</x:v>
      </x:c>
      <x:c r="B7" s="32" t="str">
        <x:v>리테일·상업</x:v>
      </x:c>
      <x:c r="C7" s="32" t="str">
        <x:v>백화점 안내/상담 코너</x:v>
      </x:c>
      <x:c r="D7" s="32" t="str">
        <x:v>600–1500</x:v>
      </x:c>
      <x:c r="E7" s="38" t="n">
        <x:v>600</x:v>
      </x:c>
      <x:c r="F7" s="38" t="n">
        <x:v>1500</x:v>
      </x:c>
      <x:c r="G7" s="32" t="str">
        <x:v>Neutral</x:v>
      </x:c>
      <x:c r="H7" s="36" t="n">
        <x:v>0.06</x:v>
      </x:c>
      <x:c r="I7" s="36" t="n">
        <x:v>0.1</x:v>
      </x:c>
      <x:c r="J7" s="36" t="n">
        <x:f>E7*H7</x:f>
        <x:v>36</x:v>
      </x:c>
      <x:c r="K7" s="36" t="n">
        <x:f>F7*I7</x:f>
        <x:v>150</x:v>
      </x:c>
      <x:c r="L7" s="36" t="n">
        <x:f>(J7+K7)/2</x:f>
        <x:v>93</x:v>
      </x:c>
      <x:c r="M7" s="36" t="n">
        <x:f>L7*0.0036</x:f>
        <x:v>0.3348</x:v>
      </x:c>
      <x:c r="N7" s="32" t="str">
        <x:v>높음</x:v>
      </x:c>
      <x:c r="O7" s="34" t="str">
        <x:v>KS 상점 권장 범위</x:v>
      </x:c>
      <x:c r="P7" s="34" t="str">
        <x:v>https://journal.khousing.or.kr/articles/xml/q1wa/</x:v>
      </x:c>
    </x:row>
    <x:row r="8">
      <x:c r="A8" s="32" t="n">
        <x:v>4</x:v>
      </x:c>
      <x:c r="B8" s="32" t="str">
        <x:v>리테일·상업</x:v>
      </x:c>
      <x:c r="C8" s="32" t="str">
        <x:v>백화점 엘리베이터 홀</x:v>
      </x:c>
      <x:c r="D8" s="32" t="str">
        <x:v>600–1500</x:v>
      </x:c>
      <x:c r="E8" s="38" t="n">
        <x:v>600</x:v>
      </x:c>
      <x:c r="F8" s="38" t="n">
        <x:v>1500</x:v>
      </x:c>
      <x:c r="G8" s="32" t="str">
        <x:v>Neutral</x:v>
      </x:c>
      <x:c r="H8" s="36" t="n">
        <x:v>0.06</x:v>
      </x:c>
      <x:c r="I8" s="36" t="n">
        <x:v>0.1</x:v>
      </x:c>
      <x:c r="J8" s="36" t="n">
        <x:f>E8*H8</x:f>
        <x:v>36</x:v>
      </x:c>
      <x:c r="K8" s="36" t="n">
        <x:f>F8*I8</x:f>
        <x:v>150</x:v>
      </x:c>
      <x:c r="L8" s="36" t="n">
        <x:f>(J8+K8)/2</x:f>
        <x:v>93</x:v>
      </x:c>
      <x:c r="M8" s="36" t="n">
        <x:f>L8*0.0036</x:f>
        <x:v>0.3348</x:v>
      </x:c>
      <x:c r="N8" s="32" t="str">
        <x:v>높음</x:v>
      </x:c>
      <x:c r="O8" s="34" t="str">
        <x:v>KS 권장값; 실제 현장은 더 낮을 수 있음</x:v>
      </x:c>
      <x:c r="P8" s="34" t="str">
        <x:v>https://journal.khousing.or.kr/articles/xml/q1wa/</x:v>
      </x:c>
    </x:row>
    <x:row r="9">
      <x:c r="A9" s="32" t="n">
        <x:v>5</x:v>
      </x:c>
      <x:c r="B9" s="32" t="str">
        <x:v>리테일·상업</x:v>
      </x:c>
      <x:c r="C9" s="32" t="str">
        <x:v>백화점 복도</x:v>
      </x:c>
      <x:c r="D9" s="32" t="str">
        <x:v>150–300</x:v>
      </x:c>
      <x:c r="E9" s="38" t="n">
        <x:v>150</x:v>
      </x:c>
      <x:c r="F9" s="38" t="n">
        <x:v>300</x:v>
      </x:c>
      <x:c r="G9" s="32" t="str">
        <x:v>Neutral</x:v>
      </x:c>
      <x:c r="H9" s="36" t="n">
        <x:v>0.06</x:v>
      </x:c>
      <x:c r="I9" s="36" t="n">
        <x:v>0.1</x:v>
      </x:c>
      <x:c r="J9" s="36" t="n">
        <x:f>E9*H9</x:f>
        <x:v>9</x:v>
      </x:c>
      <x:c r="K9" s="36" t="n">
        <x:f>F9*I9</x:f>
        <x:v>30</x:v>
      </x:c>
      <x:c r="L9" s="36" t="n">
        <x:f>(J9+K9)/2</x:f>
        <x:v>19.5</x:v>
      </x:c>
      <x:c r="M9" s="36" t="n">
        <x:f>L9*0.0036</x:f>
        <x:v>0.0702</x:v>
      </x:c>
      <x:c r="N9" s="32" t="str">
        <x:v>낮음</x:v>
      </x:c>
      <x:c r="O9" s="34" t="str">
        <x:v>KS 상점 복도 기준</x:v>
      </x:c>
      <x:c r="P9" s="34" t="str">
        <x:v>https://journal.khousing.or.kr/articles/xml/q1wa/</x:v>
      </x:c>
    </x:row>
    <x:row r="10">
      <x:c r="A10" s="32" t="n">
        <x:v>6</x:v>
      </x:c>
      <x:c r="B10" s="32" t="str">
        <x:v>리테일·상업</x:v>
      </x:c>
      <x:c r="C10" s="32" t="str">
        <x:v>쇼핑몰 공용부</x:v>
      </x:c>
      <x:c r="D10" s="32" t="str">
        <x:v>300–500</x:v>
      </x:c>
      <x:c r="E10" s="38" t="n">
        <x:v>300</x:v>
      </x:c>
      <x:c r="F10" s="38" t="n">
        <x:v>500</x:v>
      </x:c>
      <x:c r="G10" s="32" t="str">
        <x:v>Neutral</x:v>
      </x:c>
      <x:c r="H10" s="36" t="n">
        <x:v>0.06</x:v>
      </x:c>
      <x:c r="I10" s="36" t="n">
        <x:v>0.1</x:v>
      </x:c>
      <x:c r="J10" s="36" t="n">
        <x:f>E10*H10</x:f>
        <x:v>18</x:v>
      </x:c>
      <x:c r="K10" s="36" t="n">
        <x:f>F10*I10</x:f>
        <x:v>50</x:v>
      </x:c>
      <x:c r="L10" s="36" t="n">
        <x:f>(J10+K10)/2</x:f>
        <x:v>34</x:v>
      </x:c>
      <x:c r="M10" s="36" t="n">
        <x:f>L10*0.0036</x:f>
        <x:v>0.1224</x:v>
      </x:c>
      <x:c r="N10" s="32" t="str">
        <x:v>중간</x:v>
      </x:c>
      <x:c r="O10" s="34" t="str">
        <x:v>일반 쇼핑몰 공용 공간</x:v>
      </x:c>
      <x:c r="P10" s="34" t="str">
        <x:v>https://www.china-tasi.com/en/resourceCenterDetail/02e23bacee3b4b83903116fce05f62ff/</x:v>
      </x:c>
    </x:row>
    <x:row r="11">
      <x:c r="A11" s="32" t="n">
        <x:v>7</x:v>
      </x:c>
      <x:c r="B11" s="32" t="str">
        <x:v>리테일·상업</x:v>
      </x:c>
      <x:c r="C11" s="32" t="str">
        <x:v>패션 의류 매장</x:v>
      </x:c>
      <x:c r="D11" s="32" t="str">
        <x:v>500–750</x:v>
      </x:c>
      <x:c r="E11" s="38" t="n">
        <x:v>500</x:v>
      </x:c>
      <x:c r="F11" s="38" t="n">
        <x:v>750</x:v>
      </x:c>
      <x:c r="G11" s="32" t="str">
        <x:v>Neutral</x:v>
      </x:c>
      <x:c r="H11" s="36" t="n">
        <x:v>0.06</x:v>
      </x:c>
      <x:c r="I11" s="36" t="n">
        <x:v>0.1</x:v>
      </x:c>
      <x:c r="J11" s="36" t="n">
        <x:f>E11*H11</x:f>
        <x:v>30</x:v>
      </x:c>
      <x:c r="K11" s="36" t="n">
        <x:f>F11*I11</x:f>
        <x:v>75</x:v>
      </x:c>
      <x:c r="L11" s="36" t="n">
        <x:f>(J11+K11)/2</x:f>
        <x:v>52.5</x:v>
      </x:c>
      <x:c r="M11" s="36" t="n">
        <x:f>L11*0.0036</x:f>
        <x:v>0.189</x:v>
      </x:c>
      <x:c r="N11" s="32" t="str">
        <x:v>중간</x:v>
      </x:c>
      <x:c r="O11" s="34" t="str">
        <x:v>패션 매장 권장 조도</x:v>
      </x:c>
      <x:c r="P11" s="34" t="str">
        <x:v>https://www.tlc-direct.co.uk/Technical/DataSheets/Illuma/LightLevels.htm</x:v>
      </x:c>
    </x:row>
    <x:row r="12">
      <x:c r="A12" s="32" t="n">
        <x:v>8</x:v>
      </x:c>
      <x:c r="B12" s="32" t="str">
        <x:v>리테일·상업</x:v>
      </x:c>
      <x:c r="C12" s="32" t="str">
        <x:v>명품 부티크</x:v>
      </x:c>
      <x:c r="D12" s="32" t="str">
        <x:v>500–1000</x:v>
      </x:c>
      <x:c r="E12" s="38" t="n">
        <x:v>500</x:v>
      </x:c>
      <x:c r="F12" s="38" t="n">
        <x:v>1000</x:v>
      </x:c>
      <x:c r="G12" s="32" t="str">
        <x:v>Warm</x:v>
      </x:c>
      <x:c r="H12" s="36" t="n">
        <x:v>0.04</x:v>
      </x:c>
      <x:c r="I12" s="36" t="n">
        <x:v>0.07</x:v>
      </x:c>
      <x:c r="J12" s="36" t="n">
        <x:f>E12*H12</x:f>
        <x:v>20</x:v>
      </x:c>
      <x:c r="K12" s="36" t="n">
        <x:f>F12*I12</x:f>
        <x:v>70</x:v>
      </x:c>
      <x:c r="L12" s="36" t="n">
        <x:f>(J12+K12)/2</x:f>
        <x:v>45</x:v>
      </x:c>
      <x:c r="M12" s="36" t="n">
        <x:f>L12*0.0036</x:f>
        <x:v>0.162</x:v>
      </x:c>
      <x:c r="N12" s="32" t="str">
        <x:v>중간</x:v>
      </x:c>
      <x:c r="O12" s="34" t="str">
        <x:v>강한 액센트 조명 포함 가능</x:v>
      </x:c>
      <x:c r="P12" s="34" t="str">
        <x:v>https://www.china-tasi.com/en/resourceCenterDetail/02e23bacee3b4b83903116fce05f62ff/</x:v>
      </x:c>
    </x:row>
    <x:row r="13">
      <x:c r="A13" s="32" t="n">
        <x:v>9</x:v>
      </x:c>
      <x:c r="B13" s="32" t="str">
        <x:v>리테일·상업</x:v>
      </x:c>
      <x:c r="C13" s="32" t="str">
        <x:v>주얼리 매장</x:v>
      </x:c>
      <x:c r="D13" s="32" t="str">
        <x:v>500–1000</x:v>
      </x:c>
      <x:c r="E13" s="38" t="n">
        <x:v>500</x:v>
      </x:c>
      <x:c r="F13" s="38" t="n">
        <x:v>1000</x:v>
      </x:c>
      <x:c r="G13" s="32" t="str">
        <x:v>Neutral</x:v>
      </x:c>
      <x:c r="H13" s="36" t="n">
        <x:v>0.06</x:v>
      </x:c>
      <x:c r="I13" s="36" t="n">
        <x:v>0.1</x:v>
      </x:c>
      <x:c r="J13" s="36" t="n">
        <x:f>E13*H13</x:f>
        <x:v>30</x:v>
      </x:c>
      <x:c r="K13" s="36" t="n">
        <x:f>F13*I13</x:f>
        <x:v>100</x:v>
      </x:c>
      <x:c r="L13" s="36" t="n">
        <x:f>(J13+K13)/2</x:f>
        <x:v>65</x:v>
      </x:c>
      <x:c r="M13" s="36" t="n">
        <x:f>L13*0.0036</x:f>
        <x:v>0.23399999999999999</x:v>
      </x:c>
      <x:c r="N13" s="32" t="str">
        <x:v>높음</x:v>
      </x:c>
      <x:c r="O13" s="34" t="str">
        <x:v>고연색 스폿 조명 사용 가능</x:v>
      </x:c>
      <x:c r="P13" s="34" t="str">
        <x:v>https://www.tlc-direct.co.uk/Technical/DataSheets/Illuma/LightLevels.htm</x:v>
      </x:c>
    </x:row>
    <x:row r="14">
      <x:c r="A14" s="32" t="n">
        <x:v>10</x:v>
      </x:c>
      <x:c r="B14" s="32" t="str">
        <x:v>리테일·상업</x:v>
      </x:c>
      <x:c r="C14" s="32" t="str">
        <x:v>안경원</x:v>
      </x:c>
      <x:c r="D14" s="32" t="str">
        <x:v>500–1000</x:v>
      </x:c>
      <x:c r="E14" s="38" t="n">
        <x:v>500</x:v>
      </x:c>
      <x:c r="F14" s="38" t="n">
        <x:v>1000</x:v>
      </x:c>
      <x:c r="G14" s="32" t="str">
        <x:v>Cool</x:v>
      </x:c>
      <x:c r="H14" s="36" t="n">
        <x:v>0.08</x:v>
      </x:c>
      <x:c r="I14" s="36" t="n">
        <x:v>0.12</x:v>
      </x:c>
      <x:c r="J14" s="36" t="n">
        <x:f>E14*H14</x:f>
        <x:v>40</x:v>
      </x:c>
      <x:c r="K14" s="36" t="n">
        <x:f>F14*I14</x:f>
        <x:v>120</x:v>
      </x:c>
      <x:c r="L14" s="36" t="n">
        <x:f>(J14+K14)/2</x:f>
        <x:v>80</x:v>
      </x:c>
      <x:c r="M14" s="36" t="n">
        <x:f>L14*0.0036</x:f>
        <x:v>0.288</x:v>
      </x:c>
      <x:c r="N14" s="32" t="str">
        <x:v>높음</x:v>
      </x:c>
      <x:c r="O14" s="34" t="str">
        <x:v>백색 LED 쇼케이스는 청색광 비중이 높을 수 있음</x:v>
      </x:c>
      <x:c r="P14" s="34" t="str">
        <x:v>https://library.nih.go.kr/ncmiklib/elib/kom/articleDtl.do?pk_pb_seq=PB06161355</x:v>
      </x:c>
    </x:row>
    <x:row r="15">
      <x:c r="A15" s="32" t="n">
        <x:v>11</x:v>
      </x:c>
      <x:c r="B15" s="32" t="str">
        <x:v>리테일·상업</x:v>
      </x:c>
      <x:c r="C15" s="32" t="str">
        <x:v>전자제품 매장</x:v>
      </x:c>
      <x:c r="D15" s="32" t="str">
        <x:v>750–1000</x:v>
      </x:c>
      <x:c r="E15" s="38" t="n">
        <x:v>750</x:v>
      </x:c>
      <x:c r="F15" s="38" t="n">
        <x:v>1000</x:v>
      </x:c>
      <x:c r="G15" s="32" t="str">
        <x:v>Cool</x:v>
      </x:c>
      <x:c r="H15" s="36" t="n">
        <x:v>0.08</x:v>
      </x:c>
      <x:c r="I15" s="36" t="n">
        <x:v>0.12</x:v>
      </x:c>
      <x:c r="J15" s="36" t="n">
        <x:f>E15*H15</x:f>
        <x:v>60</x:v>
      </x:c>
      <x:c r="K15" s="36" t="n">
        <x:f>F15*I15</x:f>
        <x:v>120</x:v>
      </x:c>
      <x:c r="L15" s="36" t="n">
        <x:f>(J15+K15)/2</x:f>
        <x:v>90</x:v>
      </x:c>
      <x:c r="M15" s="36" t="n">
        <x:f>L15*0.0036</x:f>
        <x:v>0.324</x:v>
      </x:c>
      <x:c r="N15" s="32" t="str">
        <x:v>높음</x:v>
      </x:c>
      <x:c r="O15" s="34" t="str">
        <x:v>매장 조명 + 다수 디스플레이</x:v>
      </x:c>
      <x:c r="P15" s="34" t="str">
        <x:v>https://www.tlc-direct.co.uk/Technical/DataSheets/Illuma/LightLevels.htm</x:v>
      </x:c>
    </x:row>
    <x:row r="16">
      <x:c r="A16" s="32" t="n">
        <x:v>12</x:v>
      </x:c>
      <x:c r="B16" s="32" t="str">
        <x:v>리테일·상업</x:v>
      </x:c>
      <x:c r="C16" s="32" t="str">
        <x:v>스마트폰 매장</x:v>
      </x:c>
      <x:c r="D16" s="32" t="str">
        <x:v>750–1000</x:v>
      </x:c>
      <x:c r="E16" s="38" t="n">
        <x:v>750</x:v>
      </x:c>
      <x:c r="F16" s="38" t="n">
        <x:v>1000</x:v>
      </x:c>
      <x:c r="G16" s="32" t="str">
        <x:v>Cool</x:v>
      </x:c>
      <x:c r="H16" s="36" t="n">
        <x:v>0.08</x:v>
      </x:c>
      <x:c r="I16" s="36" t="n">
        <x:v>0.12</x:v>
      </x:c>
      <x:c r="J16" s="36" t="n">
        <x:f>E16*H16</x:f>
        <x:v>60</x:v>
      </x:c>
      <x:c r="K16" s="36" t="n">
        <x:f>F16*I16</x:f>
        <x:v>120</x:v>
      </x:c>
      <x:c r="L16" s="36" t="n">
        <x:f>(J16+K16)/2</x:f>
        <x:v>90</x:v>
      </x:c>
      <x:c r="M16" s="36" t="n">
        <x:f>L16*0.0036</x:f>
        <x:v>0.324</x:v>
      </x:c>
      <x:c r="N16" s="32" t="str">
        <x:v>높음</x:v>
      </x:c>
      <x:c r="O16" s="34" t="str">
        <x:v>밝은 매장 + 화면 노출</x:v>
      </x:c>
      <x:c r="P16" s="34" t="str">
        <x:v>https://www.tlc-direct.co.uk/Technical/DataSheets/Illuma/LightLevels.htm</x:v>
      </x:c>
    </x:row>
    <x:row r="17">
      <x:c r="A17" s="32" t="n">
        <x:v>13</x:v>
      </x:c>
      <x:c r="B17" s="32" t="str">
        <x:v>리테일·상업</x:v>
      </x:c>
      <x:c r="C17" s="32" t="str">
        <x:v>가전제품 판매점</x:v>
      </x:c>
      <x:c r="D17" s="32" t="str">
        <x:v>500–750</x:v>
      </x:c>
      <x:c r="E17" s="38" t="n">
        <x:v>500</x:v>
      </x:c>
      <x:c r="F17" s="38" t="n">
        <x:v>750</x:v>
      </x:c>
      <x:c r="G17" s="32" t="str">
        <x:v>Cool</x:v>
      </x:c>
      <x:c r="H17" s="36" t="n">
        <x:v>0.08</x:v>
      </x:c>
      <x:c r="I17" s="36" t="n">
        <x:v>0.12</x:v>
      </x:c>
      <x:c r="J17" s="36" t="n">
        <x:f>E17*H17</x:f>
        <x:v>40</x:v>
      </x:c>
      <x:c r="K17" s="36" t="n">
        <x:f>F17*I17</x:f>
        <x:v>90</x:v>
      </x:c>
      <x:c r="L17" s="36" t="n">
        <x:f>(J17+K17)/2</x:f>
        <x:v>65</x:v>
      </x:c>
      <x:c r="M17" s="36" t="n">
        <x:f>L17*0.0036</x:f>
        <x:v>0.23399999999999999</x:v>
      </x:c>
      <x:c r="N17" s="32" t="str">
        <x:v>높음</x:v>
      </x:c>
      <x:c r="O17" s="34" t="str">
        <x:v>다수의 TV/모니터 전시 가능</x:v>
      </x:c>
      <x:c r="P17" s="34" t="str">
        <x:v>https://www.tlc-direct.co.uk/Technical/DataSheets/Illuma/LightLevels.htm</x:v>
      </x:c>
    </x:row>
    <x:row r="18">
      <x:c r="A18" s="32" t="n">
        <x:v>14</x:v>
      </x:c>
      <x:c r="B18" s="32" t="str">
        <x:v>리테일·상업</x:v>
      </x:c>
      <x:c r="C18" s="32" t="str">
        <x:v>서점</x:v>
      </x:c>
      <x:c r="D18" s="32" t="str">
        <x:v>300–500</x:v>
      </x:c>
      <x:c r="E18" s="38" t="n">
        <x:v>300</x:v>
      </x:c>
      <x:c r="F18" s="38" t="n">
        <x:v>500</x:v>
      </x:c>
      <x:c r="G18" s="32" t="str">
        <x:v>Neutral</x:v>
      </x:c>
      <x:c r="H18" s="36" t="n">
        <x:v>0.06</x:v>
      </x:c>
      <x:c r="I18" s="36" t="n">
        <x:v>0.1</x:v>
      </x:c>
      <x:c r="J18" s="36" t="n">
        <x:f>E18*H18</x:f>
        <x:v>18</x:v>
      </x:c>
      <x:c r="K18" s="36" t="n">
        <x:f>F18*I18</x:f>
        <x:v>50</x:v>
      </x:c>
      <x:c r="L18" s="36" t="n">
        <x:f>(J18+K18)/2</x:f>
        <x:v>34</x:v>
      </x:c>
      <x:c r="M18" s="36" t="n">
        <x:f>L18*0.0036</x:f>
        <x:v>0.1224</x:v>
      </x:c>
      <x:c r="N18" s="32" t="str">
        <x:v>중간</x:v>
      </x:c>
      <x:c r="O18" s="34" t="str">
        <x:v>읽기·진열 중심</x:v>
      </x:c>
      <x:c r="P18" s="34" t="str">
        <x:v>https://www.tlc-direct.co.uk/Technical/DataSheets/Illuma/LightLevels.htm</x:v>
      </x:c>
    </x:row>
    <x:row r="19">
      <x:c r="A19" s="32" t="n">
        <x:v>15</x:v>
      </x:c>
      <x:c r="B19" s="32" t="str">
        <x:v>리테일·상업</x:v>
      </x:c>
      <x:c r="C19" s="32" t="str">
        <x:v>약국</x:v>
      </x:c>
      <x:c r="D19" s="32" t="str">
        <x:v>500–750</x:v>
      </x:c>
      <x:c r="E19" s="38" t="n">
        <x:v>500</x:v>
      </x:c>
      <x:c r="F19" s="38" t="n">
        <x:v>750</x:v>
      </x:c>
      <x:c r="G19" s="32" t="str">
        <x:v>Cool</x:v>
      </x:c>
      <x:c r="H19" s="36" t="n">
        <x:v>0.08</x:v>
      </x:c>
      <x:c r="I19" s="36" t="n">
        <x:v>0.12</x:v>
      </x:c>
      <x:c r="J19" s="36" t="n">
        <x:f>E19*H19</x:f>
        <x:v>40</x:v>
      </x:c>
      <x:c r="K19" s="36" t="n">
        <x:f>F19*I19</x:f>
        <x:v>90</x:v>
      </x:c>
      <x:c r="L19" s="36" t="n">
        <x:f>(J19+K19)/2</x:f>
        <x:v>65</x:v>
      </x:c>
      <x:c r="M19" s="36" t="n">
        <x:f>L19*0.0036</x:f>
        <x:v>0.23399999999999999</x:v>
      </x:c>
      <x:c r="N19" s="32" t="str">
        <x:v>높음</x:v>
      </x:c>
      <x:c r="O19" s="34" t="str">
        <x:v>라벨 식별을 위한 비교적 밝은 환경</x:v>
      </x:c>
      <x:c r="P19" s="34" t="str">
        <x:v>https://www.china-tasi.com/en/resourceCenterDetail/02e23bacee3b4b83903116fce05f62ff/</x:v>
      </x:c>
    </x:row>
    <x:row r="20">
      <x:c r="A20" s="32" t="n">
        <x:v>16</x:v>
      </x:c>
      <x:c r="B20" s="32" t="str">
        <x:v>리테일·상업</x:v>
      </x:c>
      <x:c r="C20" s="32" t="str">
        <x:v>편의점</x:v>
      </x:c>
      <x:c r="D20" s="32" t="str">
        <x:v>500–750</x:v>
      </x:c>
      <x:c r="E20" s="38" t="n">
        <x:v>500</x:v>
      </x:c>
      <x:c r="F20" s="38" t="n">
        <x:v>750</x:v>
      </x:c>
      <x:c r="G20" s="32" t="str">
        <x:v>Cool</x:v>
      </x:c>
      <x:c r="H20" s="36" t="n">
        <x:v>0.08</x:v>
      </x:c>
      <x:c r="I20" s="36" t="n">
        <x:v>0.12</x:v>
      </x:c>
      <x:c r="J20" s="36" t="n">
        <x:f>E20*H20</x:f>
        <x:v>40</x:v>
      </x:c>
      <x:c r="K20" s="36" t="n">
        <x:f>F20*I20</x:f>
        <x:v>90</x:v>
      </x:c>
      <x:c r="L20" s="36" t="n">
        <x:f>(J20+K20)/2</x:f>
        <x:v>65</x:v>
      </x:c>
      <x:c r="M20" s="36" t="n">
        <x:f>L20*0.0036</x:f>
        <x:v>0.23399999999999999</x:v>
      </x:c>
      <x:c r="N20" s="32" t="str">
        <x:v>높음</x:v>
      </x:c>
      <x:c r="O20" s="34" t="str">
        <x:v>밝고 균일한 천장 LED가 흔함</x:v>
      </x:c>
      <x:c r="P20" s="34" t="str">
        <x:v>https://www.ledvance.com/en-us/professional-lighting/insights/blog/lighting-basics/recommended-lighting-levels</x:v>
      </x:c>
    </x:row>
    <x:row r="21">
      <x:c r="A21" s="32" t="n">
        <x:v>17</x:v>
      </x:c>
      <x:c r="B21" s="32" t="str">
        <x:v>리테일·상업</x:v>
      </x:c>
      <x:c r="C21" s="32" t="str">
        <x:v>슈퍼마켓</x:v>
      </x:c>
      <x:c r="D21" s="32" t="str">
        <x:v>500–750</x:v>
      </x:c>
      <x:c r="E21" s="38" t="n">
        <x:v>500</x:v>
      </x:c>
      <x:c r="F21" s="38" t="n">
        <x:v>750</x:v>
      </x:c>
      <x:c r="G21" s="32" t="str">
        <x:v>Cool</x:v>
      </x:c>
      <x:c r="H21" s="36" t="n">
        <x:v>0.08</x:v>
      </x:c>
      <x:c r="I21" s="36" t="n">
        <x:v>0.12</x:v>
      </x:c>
      <x:c r="J21" s="36" t="n">
        <x:f>E21*H21</x:f>
        <x:v>40</x:v>
      </x:c>
      <x:c r="K21" s="36" t="n">
        <x:f>F21*I21</x:f>
        <x:v>90</x:v>
      </x:c>
      <x:c r="L21" s="36" t="n">
        <x:f>(J21+K21)/2</x:f>
        <x:v>65</x:v>
      </x:c>
      <x:c r="M21" s="36" t="n">
        <x:f>L21*0.0036</x:f>
        <x:v>0.23399999999999999</x:v>
      </x:c>
      <x:c r="N21" s="32" t="str">
        <x:v>높음</x:v>
      </x:c>
      <x:c r="O21" s="34" t="str">
        <x:v>일반 슈퍼마켓 권장 조도</x:v>
      </x:c>
      <x:c r="P21" s="34" t="str">
        <x:v>https://www.china-tasi.com/en/resourceCenterDetail/02e23bacee3b4b83903116fce05f62ff/</x:v>
      </x:c>
    </x:row>
    <x:row r="22">
      <x:c r="A22" s="32" t="n">
        <x:v>18</x:v>
      </x:c>
      <x:c r="B22" s="32" t="str">
        <x:v>리테일·상업</x:v>
      </x:c>
      <x:c r="C22" s="32" t="str">
        <x:v>대형마트 식품 코너</x:v>
      </x:c>
      <x:c r="D22" s="32" t="str">
        <x:v>750–1000</x:v>
      </x:c>
      <x:c r="E22" s="38" t="n">
        <x:v>750</x:v>
      </x:c>
      <x:c r="F22" s="38" t="n">
        <x:v>1000</x:v>
      </x:c>
      <x:c r="G22" s="32" t="str">
        <x:v>Cool</x:v>
      </x:c>
      <x:c r="H22" s="36" t="n">
        <x:v>0.08</x:v>
      </x:c>
      <x:c r="I22" s="36" t="n">
        <x:v>0.12</x:v>
      </x:c>
      <x:c r="J22" s="36" t="n">
        <x:f>E22*H22</x:f>
        <x:v>60</x:v>
      </x:c>
      <x:c r="K22" s="36" t="n">
        <x:f>F22*I22</x:f>
        <x:v>120</x:v>
      </x:c>
      <x:c r="L22" s="36" t="n">
        <x:f>(J22+K22)/2</x:f>
        <x:v>90</x:v>
      </x:c>
      <x:c r="M22" s="36" t="n">
        <x:f>L22*0.0036</x:f>
        <x:v>0.324</x:v>
      </x:c>
      <x:c r="N22" s="32" t="str">
        <x:v>높음</x:v>
      </x:c>
      <x:c r="O22" s="34" t="str">
        <x:v>신선식품 진열은 더 높은 조도 가능</x:v>
      </x:c>
      <x:c r="P22" s="34" t="str">
        <x:v>https://www.ledvance.com/en-us/professional-lighting/insights/blog/lighting-basics/recommended-lighting-levels</x:v>
      </x:c>
    </x:row>
    <x:row r="23">
      <x:c r="A23" s="32" t="n">
        <x:v>19</x:v>
      </x:c>
      <x:c r="B23" s="32" t="str">
        <x:v>리테일·상업</x:v>
      </x:c>
      <x:c r="C23" s="32" t="str">
        <x:v>면세점</x:v>
      </x:c>
      <x:c r="D23" s="32" t="str">
        <x:v>500–1000</x:v>
      </x:c>
      <x:c r="E23" s="38" t="n">
        <x:v>500</x:v>
      </x:c>
      <x:c r="F23" s="38" t="n">
        <x:v>1000</x:v>
      </x:c>
      <x:c r="G23" s="32" t="str">
        <x:v>Neutral</x:v>
      </x:c>
      <x:c r="H23" s="36" t="n">
        <x:v>0.06</x:v>
      </x:c>
      <x:c r="I23" s="36" t="n">
        <x:v>0.1</x:v>
      </x:c>
      <x:c r="J23" s="36" t="n">
        <x:f>E23*H23</x:f>
        <x:v>30</x:v>
      </x:c>
      <x:c r="K23" s="36" t="n">
        <x:f>F23*I23</x:f>
        <x:v>100</x:v>
      </x:c>
      <x:c r="L23" s="36" t="n">
        <x:f>(J23+K23)/2</x:f>
        <x:v>65</x:v>
      </x:c>
      <x:c r="M23" s="36" t="n">
        <x:f>L23*0.0036</x:f>
        <x:v>0.23399999999999999</x:v>
      </x:c>
      <x:c r="N23" s="32" t="str">
        <x:v>높음</x:v>
      </x:c>
      <x:c r="O23" s="34" t="str">
        <x:v>고조도 상품 진열</x:v>
      </x:c>
      <x:c r="P23" s="34" t="str">
        <x:v>https://www.china-tasi.com/en/resourceCenterDetail/02e23bacee3b4b83903116fce05f62ff/</x:v>
      </x:c>
    </x:row>
    <x:row r="24">
      <x:c r="A24" s="32" t="n">
        <x:v>20</x:v>
      </x:c>
      <x:c r="B24" s="32" t="str">
        <x:v>리테일·상업</x:v>
      </x:c>
      <x:c r="C24" s="32" t="str">
        <x:v>자동차 쇼룸</x:v>
      </x:c>
      <x:c r="D24" s="32" t="str">
        <x:v>500–750</x:v>
      </x:c>
      <x:c r="E24" s="38" t="n">
        <x:v>500</x:v>
      </x:c>
      <x:c r="F24" s="38" t="n">
        <x:v>750</x:v>
      </x:c>
      <x:c r="G24" s="32" t="str">
        <x:v>Cool</x:v>
      </x:c>
      <x:c r="H24" s="36" t="n">
        <x:v>0.08</x:v>
      </x:c>
      <x:c r="I24" s="36" t="n">
        <x:v>0.12</x:v>
      </x:c>
      <x:c r="J24" s="36" t="n">
        <x:f>E24*H24</x:f>
        <x:v>40</x:v>
      </x:c>
      <x:c r="K24" s="36" t="n">
        <x:f>F24*I24</x:f>
        <x:v>90</x:v>
      </x:c>
      <x:c r="L24" s="36" t="n">
        <x:f>(J24+K24)/2</x:f>
        <x:v>65</x:v>
      </x:c>
      <x:c r="M24" s="36" t="n">
        <x:f>L24*0.0036</x:f>
        <x:v>0.23399999999999999</x:v>
      </x:c>
      <x:c r="N24" s="32" t="str">
        <x:v>높음</x:v>
      </x:c>
      <x:c r="O24" s="34" t="str">
        <x:v>광택·색상 표현을 위한 고연색 조명</x:v>
      </x:c>
      <x:c r="P24" s="34" t="str">
        <x:v>https://www.tlc-direct.co.uk/Technical/DataSheets/Illuma/LightLevels.htm</x:v>
      </x:c>
    </x:row>
    <x:row r="25">
      <x:c r="A25" s="32" t="n">
        <x:v>21</x:v>
      </x:c>
      <x:c r="B25" s="32" t="str">
        <x:v>디지털·엔터테인먼트</x:v>
      </x:c>
      <x:c r="C25" s="32" t="str">
        <x:v>PC방</x:v>
      </x:c>
      <x:c r="D25" s="32" t="str">
        <x:v>82–333 (현장평균 사례)</x:v>
      </x:c>
      <x:c r="E25" s="38" t="n">
        <x:v>82</x:v>
      </x:c>
      <x:c r="F25" s="38" t="n">
        <x:v>333</x:v>
      </x:c>
      <x:c r="G25" s="32" t="str">
        <x:v>Cool</x:v>
      </x:c>
      <x:c r="H25" s="36" t="n">
        <x:v>0.08</x:v>
      </x:c>
      <x:c r="I25" s="36" t="n">
        <x:v>0.12</x:v>
      </x:c>
      <x:c r="J25" s="36" t="n">
        <x:f>E25*H25</x:f>
        <x:v>6.5600000000000005</x:v>
      </x:c>
      <x:c r="K25" s="36" t="n">
        <x:f>F25*I25</x:f>
        <x:v>39.96</x:v>
      </x:c>
      <x:c r="L25" s="36" t="n">
        <x:f>(J25+K25)/2</x:f>
        <x:v>23.26</x:v>
      </x:c>
      <x:c r="M25" s="36" t="n">
        <x:f>L25*0.0036</x:f>
        <x:v>0.083736</x:v>
      </x:c>
      <x:c r="N25" s="32" t="str">
        <x:v>낮음</x:v>
      </x:c>
      <x:c r="O25" s="34" t="str">
        <x:v>모니터 직접 노출이 추가됨</x:v>
      </x:c>
      <x:c r="P25" s="34" t="str">
        <x:v>https://www.researchgate.net/publication/287451747_The_Indoor_Environmental_Quality_in_Cyber_Cafes</x:v>
      </x:c>
    </x:row>
    <x:row r="26">
      <x:c r="A26" s="32" t="n">
        <x:v>22</x:v>
      </x:c>
      <x:c r="B26" s="32" t="str">
        <x:v>디지털·엔터테인먼트</x:v>
      </x:c>
      <x:c r="C26" s="32" t="str">
        <x:v>e스포츠 경기장 관람석</x:v>
      </x:c>
      <x:c r="D26" s="32" t="str">
        <x:v>100–300</x:v>
      </x:c>
      <x:c r="E26" s="38" t="n">
        <x:v>100</x:v>
      </x:c>
      <x:c r="F26" s="38" t="n">
        <x:v>300</x:v>
      </x:c>
      <x:c r="G26" s="32" t="str">
        <x:v>Mixed</x:v>
      </x:c>
      <x:c r="H26" s="36" t="n">
        <x:v>0.04</x:v>
      </x:c>
      <x:c r="I26" s="36" t="n">
        <x:v>0.12</x:v>
      </x:c>
      <x:c r="J26" s="36" t="n">
        <x:f>E26*H26</x:f>
        <x:v>4</x:v>
      </x:c>
      <x:c r="K26" s="36" t="n">
        <x:f>F26*I26</x:f>
        <x:v>36</x:v>
      </x:c>
      <x:c r="L26" s="36" t="n">
        <x:f>(J26+K26)/2</x:f>
        <x:v>20</x:v>
      </x:c>
      <x:c r="M26" s="36" t="n">
        <x:f>L26*0.0036</x:f>
        <x:v>0.072</x:v>
      </x:c>
      <x:c r="N26" s="32" t="str">
        <x:v>낮음</x:v>
      </x:c>
      <x:c r="O26" s="34" t="str">
        <x:v>대형 LED 스크린·무대조명 추가</x:v>
      </x:c>
      <x:c r="P26" s="34" t="str">
        <x:v>https://www.tlc-direct.co.uk/Technical/DataSheets/Illuma/LightLevels.htm</x:v>
      </x:c>
    </x:row>
    <x:row r="27">
      <x:c r="A27" s="32" t="n">
        <x:v>23</x:v>
      </x:c>
      <x:c r="B27" s="32" t="str">
        <x:v>디지털·엔터테인먼트</x:v>
      </x:c>
      <x:c r="C27" s="32" t="str">
        <x:v>오락실/아케이드</x:v>
      </x:c>
      <x:c r="D27" s="32" t="str">
        <x:v>100–300</x:v>
      </x:c>
      <x:c r="E27" s="38" t="n">
        <x:v>100</x:v>
      </x:c>
      <x:c r="F27" s="38" t="n">
        <x:v>300</x:v>
      </x:c>
      <x:c r="G27" s="32" t="str">
        <x:v>Mixed</x:v>
      </x:c>
      <x:c r="H27" s="36" t="n">
        <x:v>0.04</x:v>
      </x:c>
      <x:c r="I27" s="36" t="n">
        <x:v>0.12</x:v>
      </x:c>
      <x:c r="J27" s="36" t="n">
        <x:f>E27*H27</x:f>
        <x:v>4</x:v>
      </x:c>
      <x:c r="K27" s="36" t="n">
        <x:f>F27*I27</x:f>
        <x:v>36</x:v>
      </x:c>
      <x:c r="L27" s="36" t="n">
        <x:f>(J27+K27)/2</x:f>
        <x:v>20</x:v>
      </x:c>
      <x:c r="M27" s="36" t="n">
        <x:f>L27*0.0036</x:f>
        <x:v>0.072</x:v>
      </x:c>
      <x:c r="N27" s="32" t="str">
        <x:v>낮음</x:v>
      </x:c>
      <x:c r="O27" s="34" t="str">
        <x:v>RGB·디스플레이 비중 높음</x:v>
      </x:c>
      <x:c r="P27" s="34" t="str">
        <x:v>https://www.tlc-direct.co.uk/Technical/DataSheets/Illuma/LightLevels.htm</x:v>
      </x:c>
    </x:row>
    <x:row r="28">
      <x:c r="A28" s="32" t="n">
        <x:v>24</x:v>
      </x:c>
      <x:c r="B28" s="32" t="str">
        <x:v>디지털·엔터테인먼트</x:v>
      </x:c>
      <x:c r="C28" s="32" t="str">
        <x:v>VR 카페</x:v>
      </x:c>
      <x:c r="D28" s="32" t="str">
        <x:v>100–300</x:v>
      </x:c>
      <x:c r="E28" s="38" t="n">
        <x:v>100</x:v>
      </x:c>
      <x:c r="F28" s="38" t="n">
        <x:v>300</x:v>
      </x:c>
      <x:c r="G28" s="32" t="str">
        <x:v>Cool</x:v>
      </x:c>
      <x:c r="H28" s="36" t="n">
        <x:v>0.08</x:v>
      </x:c>
      <x:c r="I28" s="36" t="n">
        <x:v>0.12</x:v>
      </x:c>
      <x:c r="J28" s="36" t="n">
        <x:f>E28*H28</x:f>
        <x:v>8</x:v>
      </x:c>
      <x:c r="K28" s="36" t="n">
        <x:f>F28*I28</x:f>
        <x:v>36</x:v>
      </x:c>
      <x:c r="L28" s="36" t="n">
        <x:f>(J28+K28)/2</x:f>
        <x:v>22</x:v>
      </x:c>
      <x:c r="M28" s="36" t="n">
        <x:f>L28*0.0036</x:f>
        <x:v>0.07919999999999999</x:v>
      </x:c>
      <x:c r="N28" s="32" t="str">
        <x:v>낮음</x:v>
      </x:c>
      <x:c r="O28" s="34" t="str">
        <x:v>헤드셋 디스플레이는 별도 직접 노출</x:v>
      </x:c>
      <x:c r="P28" s="34" t="str">
        <x:v>https://www.tlc-direct.co.uk/Technical/DataSheets/Illuma/LightLevels.htm</x:v>
      </x:c>
    </x:row>
    <x:row r="29">
      <x:c r="A29" s="32" t="n">
        <x:v>25</x:v>
      </x:c>
      <x:c r="B29" s="32" t="str">
        <x:v>디지털·엔터테인먼트</x:v>
      </x:c>
      <x:c r="C29" s="32" t="str">
        <x:v>코인 노래방</x:v>
      </x:c>
      <x:c r="D29" s="32" t="str">
        <x:v>50–150</x:v>
      </x:c>
      <x:c r="E29" s="38" t="n">
        <x:v>50</x:v>
      </x:c>
      <x:c r="F29" s="38" t="n">
        <x:v>150</x:v>
      </x:c>
      <x:c r="G29" s="32" t="str">
        <x:v>Mixed</x:v>
      </x:c>
      <x:c r="H29" s="36" t="n">
        <x:v>0.04</x:v>
      </x:c>
      <x:c r="I29" s="36" t="n">
        <x:v>0.12</x:v>
      </x:c>
      <x:c r="J29" s="36" t="n">
        <x:f>E29*H29</x:f>
        <x:v>2</x:v>
      </x:c>
      <x:c r="K29" s="36" t="n">
        <x:f>F29*I29</x:f>
        <x:v>18</x:v>
      </x:c>
      <x:c r="L29" s="36" t="n">
        <x:f>(J29+K29)/2</x:f>
        <x:v>10</x:v>
      </x:c>
      <x:c r="M29" s="36" t="n">
        <x:f>L29*0.0036</x:f>
        <x:v>0.036</x:v>
      </x:c>
      <x:c r="N29" s="32" t="str">
        <x:v>낮음</x:v>
      </x:c>
      <x:c r="O29" s="34" t="str">
        <x:v>디스플레이·RGB 조명 혼합</x:v>
      </x:c>
      <x:c r="P29" s="34" t="str">
        <x:v>https://www.tlc-direct.co.uk/Technical/DataSheets/Illuma/LightLevels.htm</x:v>
      </x:c>
    </x:row>
    <x:row r="30">
      <x:c r="A30" s="32" t="n">
        <x:v>26</x:v>
      </x:c>
      <x:c r="B30" s="32" t="str">
        <x:v>디지털·엔터테인먼트</x:v>
      </x:c>
      <x:c r="C30" s="32" t="str">
        <x:v>영화관 상영 중 객석</x:v>
      </x:c>
      <x:c r="D30" s="32" t="str">
        <x:v>0–10</x:v>
      </x:c>
      <x:c r="E30" s="38" t="n">
        <x:v>0</x:v>
      </x:c>
      <x:c r="F30" s="38" t="n">
        <x:v>10</x:v>
      </x:c>
      <x:c r="G30" s="32" t="str">
        <x:v>Mixed</x:v>
      </x:c>
      <x:c r="H30" s="36" t="n">
        <x:v>0.04</x:v>
      </x:c>
      <x:c r="I30" s="36" t="n">
        <x:v>0.12</x:v>
      </x:c>
      <x:c r="J30" s="36" t="n">
        <x:f>E30*H30</x:f>
        <x:v>0</x:v>
      </x:c>
      <x:c r="K30" s="36" t="n">
        <x:f>F30*I30</x:f>
        <x:v>1.2</x:v>
      </x:c>
      <x:c r="L30" s="36" t="n">
        <x:f>(J30+K30)/2</x:f>
        <x:v>0.6</x:v>
      </x:c>
      <x:c r="M30" s="36" t="n">
        <x:f>L30*0.0036</x:f>
        <x:v>0.00216</x:v>
      </x:c>
      <x:c r="N30" s="32" t="str">
        <x:v>매우 낮음</x:v>
      </x:c>
      <x:c r="O30" s="34" t="str">
        <x:v>상영 중 주변 조명은 거의 0; 스크린광은 별도</x:v>
      </x:c>
      <x:c r="P30" s="34" t="str">
        <x:v>https://www.unic-cinemas.org/fileadmin/user_upload/Publications/UNIC_handbook_online_02_20__1_.pdf</x:v>
      </x:c>
    </x:row>
    <x:row r="31">
      <x:c r="A31" s="32" t="n">
        <x:v>27</x:v>
      </x:c>
      <x:c r="B31" s="32" t="str">
        <x:v>디지털·엔터테인먼트</x:v>
      </x:c>
      <x:c r="C31" s="32" t="str">
        <x:v>영화관 입장/퇴장 시 객석</x:v>
      </x:c>
      <x:c r="D31" s="32" t="str">
        <x:v>50–150</x:v>
      </x:c>
      <x:c r="E31" s="38" t="n">
        <x:v>50</x:v>
      </x:c>
      <x:c r="F31" s="38" t="n">
        <x:v>150</x:v>
      </x:c>
      <x:c r="G31" s="32" t="str">
        <x:v>Warm</x:v>
      </x:c>
      <x:c r="H31" s="36" t="n">
        <x:v>0.04</x:v>
      </x:c>
      <x:c r="I31" s="36" t="n">
        <x:v>0.07</x:v>
      </x:c>
      <x:c r="J31" s="36" t="n">
        <x:f>E31*H31</x:f>
        <x:v>2</x:v>
      </x:c>
      <x:c r="K31" s="36" t="n">
        <x:f>F31*I31</x:f>
        <x:v>10.500000000000002</x:v>
      </x:c>
      <x:c r="L31" s="36" t="n">
        <x:f>(J31+K31)/2</x:f>
        <x:v>6.250000000000001</x:v>
      </x:c>
      <x:c r="M31" s="36" t="n">
        <x:f>L31*0.0036</x:f>
        <x:v>0.022500000000000003</x:v>
      </x:c>
      <x:c r="N31" s="32" t="str">
        <x:v>매우 낮음</x:v>
      </x:c>
      <x:c r="O31" s="34" t="str">
        <x:v>상영 전후 약 50–150 lx 수준</x:v>
      </x:c>
      <x:c r="P31" s="34" t="str">
        <x:v>https://www.unic-cinemas.org/fileadmin/user_upload/Publications/UNIC_handbook_online_02_20__1_.pdf</x:v>
      </x:c>
    </x:row>
    <x:row r="32">
      <x:c r="A32" s="32" t="n">
        <x:v>28</x:v>
      </x:c>
      <x:c r="B32" s="32" t="str">
        <x:v>디지털·엔터테인먼트</x:v>
      </x:c>
      <x:c r="C32" s="32" t="str">
        <x:v>영화관 로비/포이어</x:v>
      </x:c>
      <x:c r="D32" s="32" t="str">
        <x:v>150–200</x:v>
      </x:c>
      <x:c r="E32" s="38" t="n">
        <x:v>150</x:v>
      </x:c>
      <x:c r="F32" s="38" t="n">
        <x:v>200</x:v>
      </x:c>
      <x:c r="G32" s="32" t="str">
        <x:v>Warm</x:v>
      </x:c>
      <x:c r="H32" s="36" t="n">
        <x:v>0.04</x:v>
      </x:c>
      <x:c r="I32" s="36" t="n">
        <x:v>0.07</x:v>
      </x:c>
      <x:c r="J32" s="36" t="n">
        <x:f>E32*H32</x:f>
        <x:v>6</x:v>
      </x:c>
      <x:c r="K32" s="36" t="n">
        <x:f>F32*I32</x:f>
        <x:v>14.000000000000002</x:v>
      </x:c>
      <x:c r="L32" s="36" t="n">
        <x:f>(J32+K32)/2</x:f>
        <x:v>10</x:v>
      </x:c>
      <x:c r="M32" s="36" t="n">
        <x:f>L32*0.0036</x:f>
        <x:v>0.036</x:v>
      </x:c>
      <x:c r="N32" s="32" t="str">
        <x:v>낮음</x:v>
      </x:c>
      <x:c r="O32" s="34" t="str">
        <x:v>포이어 권장 조도</x:v>
      </x:c>
      <x:c r="P32" s="34" t="str">
        <x:v>https://www.tlc-direct.co.uk/Technical/DataSheets/Illuma/LightLevels.htm</x:v>
      </x:c>
    </x:row>
    <x:row r="33">
      <x:c r="A33" s="32" t="n">
        <x:v>29</x:v>
      </x:c>
      <x:c r="B33" s="32" t="str">
        <x:v>디지털·엔터테인먼트</x:v>
      </x:c>
      <x:c r="C33" s="32" t="str">
        <x:v>극장 객석 공연 전후</x:v>
      </x:c>
      <x:c r="D33" s="32" t="str">
        <x:v>100–150</x:v>
      </x:c>
      <x:c r="E33" s="38" t="n">
        <x:v>100</x:v>
      </x:c>
      <x:c r="F33" s="38" t="n">
        <x:v>150</x:v>
      </x:c>
      <x:c r="G33" s="32" t="str">
        <x:v>Warm</x:v>
      </x:c>
      <x:c r="H33" s="36" t="n">
        <x:v>0.04</x:v>
      </x:c>
      <x:c r="I33" s="36" t="n">
        <x:v>0.07</x:v>
      </x:c>
      <x:c r="J33" s="36" t="n">
        <x:f>E33*H33</x:f>
        <x:v>4</x:v>
      </x:c>
      <x:c r="K33" s="36" t="n">
        <x:f>F33*I33</x:f>
        <x:v>10.500000000000002</x:v>
      </x:c>
      <x:c r="L33" s="36" t="n">
        <x:f>(J33+K33)/2</x:f>
        <x:v>7.250000000000001</x:v>
      </x:c>
      <x:c r="M33" s="36" t="n">
        <x:f>L33*0.0036</x:f>
        <x:v>0.0261</x:v>
      </x:c>
      <x:c r="N33" s="32" t="str">
        <x:v>매우 낮음</x:v>
      </x:c>
      <x:c r="O33" s="34" t="str">
        <x:v>공연 전후 객석 조도</x:v>
      </x:c>
      <x:c r="P33" s="34" t="str">
        <x:v>https://www.tlc-direct.co.uk/Technical/DataSheets/Illuma/LightLevels.htm</x:v>
      </x:c>
    </x:row>
    <x:row r="34">
      <x:c r="A34" s="32" t="n">
        <x:v>30</x:v>
      </x:c>
      <x:c r="B34" s="32" t="str">
        <x:v>디지털·엔터테인먼트</x:v>
      </x:c>
      <x:c r="C34" s="32" t="str">
        <x:v>콘서트홀 로비</x:v>
      </x:c>
      <x:c r="D34" s="32" t="str">
        <x:v>100–200</x:v>
      </x:c>
      <x:c r="E34" s="38" t="n">
        <x:v>100</x:v>
      </x:c>
      <x:c r="F34" s="38" t="n">
        <x:v>200</x:v>
      </x:c>
      <x:c r="G34" s="32" t="str">
        <x:v>Warm</x:v>
      </x:c>
      <x:c r="H34" s="36" t="n">
        <x:v>0.04</x:v>
      </x:c>
      <x:c r="I34" s="36" t="n">
        <x:v>0.07</x:v>
      </x:c>
      <x:c r="J34" s="36" t="n">
        <x:f>E34*H34</x:f>
        <x:v>4</x:v>
      </x:c>
      <x:c r="K34" s="36" t="n">
        <x:f>F34*I34</x:f>
        <x:v>14.000000000000002</x:v>
      </x:c>
      <x:c r="L34" s="36" t="n">
        <x:f>(J34+K34)/2</x:f>
        <x:v>9</x:v>
      </x:c>
      <x:c r="M34" s="36" t="n">
        <x:f>L34*0.0036</x:f>
        <x:v>0.0324</x:v>
      </x:c>
      <x:c r="N34" s="32" t="str">
        <x:v>매우 낮음</x:v>
      </x:c>
      <x:c r="O34" s="34" t="str">
        <x:v>대기·이동 공간</x:v>
      </x:c>
      <x:c r="P34" s="34" t="str">
        <x:v>https://www.tlc-direct.co.uk/Technical/DataSheets/Illuma/LightLevels.htm</x:v>
      </x:c>
    </x:row>
    <x:row r="35">
      <x:c r="A35" s="32" t="n">
        <x:v>31</x:v>
      </x:c>
      <x:c r="B35" s="32" t="str">
        <x:v>디지털·엔터테인먼트</x:v>
      </x:c>
      <x:c r="C35" s="32" t="str">
        <x:v>공연장 리허설실</x:v>
      </x:c>
      <x:c r="D35" s="32" t="str">
        <x:v>300–500</x:v>
      </x:c>
      <x:c r="E35" s="38" t="n">
        <x:v>300</x:v>
      </x:c>
      <x:c r="F35" s="38" t="n">
        <x:v>500</x:v>
      </x:c>
      <x:c r="G35" s="32" t="str">
        <x:v>Neutral</x:v>
      </x:c>
      <x:c r="H35" s="36" t="n">
        <x:v>0.06</x:v>
      </x:c>
      <x:c r="I35" s="36" t="n">
        <x:v>0.1</x:v>
      </x:c>
      <x:c r="J35" s="36" t="n">
        <x:f>E35*H35</x:f>
        <x:v>18</x:v>
      </x:c>
      <x:c r="K35" s="36" t="n">
        <x:f>F35*I35</x:f>
        <x:v>50</x:v>
      </x:c>
      <x:c r="L35" s="36" t="n">
        <x:f>(J35+K35)/2</x:f>
        <x:v>34</x:v>
      </x:c>
      <x:c r="M35" s="36" t="n">
        <x:f>L35*0.0036</x:f>
        <x:v>0.1224</x:v>
      </x:c>
      <x:c r="N35" s="32" t="str">
        <x:v>중간</x:v>
      </x:c>
      <x:c r="O35" s="34" t="str">
        <x:v>리허설·연습 공간</x:v>
      </x:c>
      <x:c r="P35" s="34" t="str">
        <x:v>https://www.chinaelectric.com.tw/knowledge_detail.php?nid=6</x:v>
      </x:c>
    </x:row>
    <x:row r="36">
      <x:c r="A36" s="32" t="n">
        <x:v>32</x:v>
      </x:c>
      <x:c r="B36" s="32" t="str">
        <x:v>디지털·엔터테인먼트</x:v>
      </x:c>
      <x:c r="C36" s="32" t="str">
        <x:v>나이트클럽</x:v>
      </x:c>
      <x:c r="D36" s="32" t="str">
        <x:v>30–100</x:v>
      </x:c>
      <x:c r="E36" s="38" t="n">
        <x:v>30</x:v>
      </x:c>
      <x:c r="F36" s="38" t="n">
        <x:v>100</x:v>
      </x:c>
      <x:c r="G36" s="32" t="str">
        <x:v>Mixed</x:v>
      </x:c>
      <x:c r="H36" s="36" t="n">
        <x:v>0.04</x:v>
      </x:c>
      <x:c r="I36" s="36" t="n">
        <x:v>0.12</x:v>
      </x:c>
      <x:c r="J36" s="36" t="n">
        <x:f>E36*H36</x:f>
        <x:v>1.2</x:v>
      </x:c>
      <x:c r="K36" s="36" t="n">
        <x:f>F36*I36</x:f>
        <x:v>12</x:v>
      </x:c>
      <x:c r="L36" s="36" t="n">
        <x:f>(J36+K36)/2</x:f>
        <x:v>6.6</x:v>
      </x:c>
      <x:c r="M36" s="36" t="n">
        <x:f>L36*0.0036</x:f>
        <x:v>0.023759999999999996</x:v>
      </x:c>
      <x:c r="N36" s="32" t="str">
        <x:v>매우 낮음</x:v>
      </x:c>
      <x:c r="O36" s="34" t="str">
        <x:v>RGB 조명으로 스펙트럼 변동 큼</x:v>
      </x:c>
      <x:c r="P36" s="34" t="str">
        <x:v>https://architectural-lighting.com/</x:v>
      </x:c>
    </x:row>
    <x:row r="37">
      <x:c r="A37" s="32" t="n">
        <x:v>33</x:v>
      </x:c>
      <x:c r="B37" s="32" t="str">
        <x:v>디지털·엔터테인먼트</x:v>
      </x:c>
      <x:c r="C37" s="32" t="str">
        <x:v>실내 테마파크</x:v>
      </x:c>
      <x:c r="D37" s="32" t="str">
        <x:v>100–300</x:v>
      </x:c>
      <x:c r="E37" s="38" t="n">
        <x:v>100</x:v>
      </x:c>
      <x:c r="F37" s="38" t="n">
        <x:v>300</x:v>
      </x:c>
      <x:c r="G37" s="32" t="str">
        <x:v>Mixed</x:v>
      </x:c>
      <x:c r="H37" s="36" t="n">
        <x:v>0.04</x:v>
      </x:c>
      <x:c r="I37" s="36" t="n">
        <x:v>0.12</x:v>
      </x:c>
      <x:c r="J37" s="36" t="n">
        <x:f>E37*H37</x:f>
        <x:v>4</x:v>
      </x:c>
      <x:c r="K37" s="36" t="n">
        <x:f>F37*I37</x:f>
        <x:v>36</x:v>
      </x:c>
      <x:c r="L37" s="36" t="n">
        <x:f>(J37+K37)/2</x:f>
        <x:v>20</x:v>
      </x:c>
      <x:c r="M37" s="36" t="n">
        <x:f>L37*0.0036</x:f>
        <x:v>0.072</x:v>
      </x:c>
      <x:c r="N37" s="32" t="str">
        <x:v>낮음</x:v>
      </x:c>
      <x:c r="O37" s="34" t="str">
        <x:v>연출조명·LED 사이니지 영향</x:v>
      </x:c>
      <x:c r="P37" s="34" t="str">
        <x:v>https://www.tlc-direct.co.uk/Technical/DataSheets/Illuma/LightLevels.htm</x:v>
      </x:c>
    </x:row>
    <x:row r="38">
      <x:c r="A38" s="32" t="n">
        <x:v>34</x:v>
      </x:c>
      <x:c r="B38" s="32" t="str">
        <x:v>디지털·엔터테인먼트</x:v>
      </x:c>
      <x:c r="C38" s="32" t="str">
        <x:v>볼링장</x:v>
      </x:c>
      <x:c r="D38" s="32" t="str">
        <x:v>200–300</x:v>
      </x:c>
      <x:c r="E38" s="38" t="n">
        <x:v>200</x:v>
      </x:c>
      <x:c r="F38" s="38" t="n">
        <x:v>300</x:v>
      </x:c>
      <x:c r="G38" s="32" t="str">
        <x:v>Mixed</x:v>
      </x:c>
      <x:c r="H38" s="36" t="n">
        <x:v>0.04</x:v>
      </x:c>
      <x:c r="I38" s="36" t="n">
        <x:v>0.12</x:v>
      </x:c>
      <x:c r="J38" s="36" t="n">
        <x:f>E38*H38</x:f>
        <x:v>8</x:v>
      </x:c>
      <x:c r="K38" s="36" t="n">
        <x:f>F38*I38</x:f>
        <x:v>36</x:v>
      </x:c>
      <x:c r="L38" s="36" t="n">
        <x:f>(J38+K38)/2</x:f>
        <x:v>22</x:v>
      </x:c>
      <x:c r="M38" s="36" t="n">
        <x:f>L38*0.0036</x:f>
        <x:v>0.07919999999999999</x:v>
      </x:c>
      <x:c r="N38" s="32" t="str">
        <x:v>낮음</x:v>
      </x:c>
      <x:c r="O38" s="34" t="str">
        <x:v>레인 조명 + 디스플레이</x:v>
      </x:c>
      <x:c r="P38" s="34" t="str">
        <x:v>https://www.tlc-direct.co.uk/Technical/DataSheets/Illuma/LightLevels.htm</x:v>
      </x:c>
    </x:row>
    <x:row r="39">
      <x:c r="A39" s="32" t="n">
        <x:v>35</x:v>
      </x:c>
      <x:c r="B39" s="32" t="str">
        <x:v>디지털·엔터테인먼트</x:v>
      </x:c>
      <x:c r="C39" s="32" t="str">
        <x:v>당구장</x:v>
      </x:c>
      <x:c r="D39" s="32" t="str">
        <x:v>100–300</x:v>
      </x:c>
      <x:c r="E39" s="38" t="n">
        <x:v>100</x:v>
      </x:c>
      <x:c r="F39" s="38" t="n">
        <x:v>300</x:v>
      </x:c>
      <x:c r="G39" s="32" t="str">
        <x:v>Neutral</x:v>
      </x:c>
      <x:c r="H39" s="36" t="n">
        <x:v>0.06</x:v>
      </x:c>
      <x:c r="I39" s="36" t="n">
        <x:v>0.1</x:v>
      </x:c>
      <x:c r="J39" s="36" t="n">
        <x:f>E39*H39</x:f>
        <x:v>6</x:v>
      </x:c>
      <x:c r="K39" s="36" t="n">
        <x:f>F39*I39</x:f>
        <x:v>30</x:v>
      </x:c>
      <x:c r="L39" s="36" t="n">
        <x:f>(J39+K39)/2</x:f>
        <x:v>18</x:v>
      </x:c>
      <x:c r="M39" s="36" t="n">
        <x:f>L39*0.0036</x:f>
        <x:v>0.0648</x:v>
      </x:c>
      <x:c r="N39" s="32" t="str">
        <x:v>낮음</x:v>
      </x:c>
      <x:c r="O39" s="34" t="str">
        <x:v>테이블 국부조명은 더 밝을 수 있음</x:v>
      </x:c>
      <x:c r="P39" s="34" t="str">
        <x:v>https://www.tlc-direct.co.uk/Technical/DataSheets/Illuma/LightLevels.htm</x:v>
      </x:c>
    </x:row>
    <x:row r="40">
      <x:c r="A40" s="32" t="n">
        <x:v>36</x:v>
      </x:c>
      <x:c r="B40" s="32" t="str">
        <x:v>업무·학습</x:v>
      </x:c>
      <x:c r="C40" s="32" t="str">
        <x:v>오픈형 사무실</x:v>
      </x:c>
      <x:c r="D40" s="32" t="str">
        <x:v>300–500</x:v>
      </x:c>
      <x:c r="E40" s="38" t="n">
        <x:v>300</x:v>
      </x:c>
      <x:c r="F40" s="38" t="n">
        <x:v>500</x:v>
      </x:c>
      <x:c r="G40" s="32" t="str">
        <x:v>Neutral</x:v>
      </x:c>
      <x:c r="H40" s="36" t="n">
        <x:v>0.06</x:v>
      </x:c>
      <x:c r="I40" s="36" t="n">
        <x:v>0.1</x:v>
      </x:c>
      <x:c r="J40" s="36" t="n">
        <x:f>E40*H40</x:f>
        <x:v>18</x:v>
      </x:c>
      <x:c r="K40" s="36" t="n">
        <x:f>F40*I40</x:f>
        <x:v>50</x:v>
      </x:c>
      <x:c r="L40" s="36" t="n">
        <x:f>(J40+K40)/2</x:f>
        <x:v>34</x:v>
      </x:c>
      <x:c r="M40" s="36" t="n">
        <x:f>L40*0.0036</x:f>
        <x:v>0.1224</x:v>
      </x:c>
      <x:c r="N40" s="32" t="str">
        <x:v>중간</x:v>
      </x:c>
      <x:c r="O40" s="34" t="str">
        <x:v>대표적 업무 조도</x:v>
      </x:c>
      <x:c r="P40" s="34" t="str">
        <x:v>https://www.china-tasi.com/en/resourceCenterDetail/02e23bacee3b4b83903116fce05f62ff/</x:v>
      </x:c>
    </x:row>
    <x:row r="41">
      <x:c r="A41" s="32" t="n">
        <x:v>37</x:v>
      </x:c>
      <x:c r="B41" s="32" t="str">
        <x:v>업무·학습</x:v>
      </x:c>
      <x:c r="C41" s="32" t="str">
        <x:v>개인 사무실</x:v>
      </x:c>
      <x:c r="D41" s="32" t="str">
        <x:v>300–500</x:v>
      </x:c>
      <x:c r="E41" s="38" t="n">
        <x:v>300</x:v>
      </x:c>
      <x:c r="F41" s="38" t="n">
        <x:v>500</x:v>
      </x:c>
      <x:c r="G41" s="32" t="str">
        <x:v>Neutral</x:v>
      </x:c>
      <x:c r="H41" s="36" t="n">
        <x:v>0.06</x:v>
      </x:c>
      <x:c r="I41" s="36" t="n">
        <x:v>0.1</x:v>
      </x:c>
      <x:c r="J41" s="36" t="n">
        <x:f>E41*H41</x:f>
        <x:v>18</x:v>
      </x:c>
      <x:c r="K41" s="36" t="n">
        <x:f>F41*I41</x:f>
        <x:v>50</x:v>
      </x:c>
      <x:c r="L41" s="36" t="n">
        <x:f>(J41+K41)/2</x:f>
        <x:v>34</x:v>
      </x:c>
      <x:c r="M41" s="36" t="n">
        <x:f>L41*0.0036</x:f>
        <x:v>0.1224</x:v>
      </x:c>
      <x:c r="N41" s="32" t="str">
        <x:v>중간</x:v>
      </x:c>
      <x:c r="O41" s="34" t="str">
        <x:v>일반 사무 공간</x:v>
      </x:c>
      <x:c r="P41" s="34" t="str">
        <x:v>https://www.ledvance.com/en-us/professional-lighting/insights/blog/lighting-basics/recommended-lighting-levels</x:v>
      </x:c>
    </x:row>
    <x:row r="42">
      <x:c r="A42" s="32" t="n">
        <x:v>38</x:v>
      </x:c>
      <x:c r="B42" s="32" t="str">
        <x:v>업무·학습</x:v>
      </x:c>
      <x:c r="C42" s="32" t="str">
        <x:v>회의실</x:v>
      </x:c>
      <x:c r="D42" s="32" t="str">
        <x:v>300–500</x:v>
      </x:c>
      <x:c r="E42" s="38" t="n">
        <x:v>300</x:v>
      </x:c>
      <x:c r="F42" s="38" t="n">
        <x:v>500</x:v>
      </x:c>
      <x:c r="G42" s="32" t="str">
        <x:v>Neutral</x:v>
      </x:c>
      <x:c r="H42" s="36" t="n">
        <x:v>0.06</x:v>
      </x:c>
      <x:c r="I42" s="36" t="n">
        <x:v>0.1</x:v>
      </x:c>
      <x:c r="J42" s="36" t="n">
        <x:f>E42*H42</x:f>
        <x:v>18</x:v>
      </x:c>
      <x:c r="K42" s="36" t="n">
        <x:f>F42*I42</x:f>
        <x:v>50</x:v>
      </x:c>
      <x:c r="L42" s="36" t="n">
        <x:f>(J42+K42)/2</x:f>
        <x:v>34</x:v>
      </x:c>
      <x:c r="M42" s="36" t="n">
        <x:f>L42*0.0036</x:f>
        <x:v>0.1224</x:v>
      </x:c>
      <x:c r="N42" s="32" t="str">
        <x:v>중간</x:v>
      </x:c>
      <x:c r="O42" s="34" t="str">
        <x:v>회의·문서 작업</x:v>
      </x:c>
      <x:c r="P42" s="34" t="str">
        <x:v>https://www.china-tasi.com/en/resourceCenterDetail/02e23bacee3b4b83903116fce05f62ff/</x:v>
      </x:c>
    </x:row>
    <x:row r="43">
      <x:c r="A43" s="32" t="n">
        <x:v>39</x:v>
      </x:c>
      <x:c r="B43" s="32" t="str">
        <x:v>업무·학습</x:v>
      </x:c>
      <x:c r="C43" s="32" t="str">
        <x:v>콜센터</x:v>
      </x:c>
      <x:c r="D43" s="32" t="str">
        <x:v>300–500</x:v>
      </x:c>
      <x:c r="E43" s="38" t="n">
        <x:v>300</x:v>
      </x:c>
      <x:c r="F43" s="38" t="n">
        <x:v>500</x:v>
      </x:c>
      <x:c r="G43" s="32" t="str">
        <x:v>Cool</x:v>
      </x:c>
      <x:c r="H43" s="36" t="n">
        <x:v>0.08</x:v>
      </x:c>
      <x:c r="I43" s="36" t="n">
        <x:v>0.12</x:v>
      </x:c>
      <x:c r="J43" s="36" t="n">
        <x:f>E43*H43</x:f>
        <x:v>24</x:v>
      </x:c>
      <x:c r="K43" s="36" t="n">
        <x:f>F43*I43</x:f>
        <x:v>60</x:v>
      </x:c>
      <x:c r="L43" s="36" t="n">
        <x:f>(J43+K43)/2</x:f>
        <x:v>42</x:v>
      </x:c>
      <x:c r="M43" s="36" t="n">
        <x:f>L43*0.0036</x:f>
        <x:v>0.1512</x:v>
      </x:c>
      <x:c r="N43" s="32" t="str">
        <x:v>중간</x:v>
      </x:c>
      <x:c r="O43" s="34" t="str">
        <x:v>장시간 모니터 사용 추가</x:v>
      </x:c>
      <x:c r="P43" s="34" t="str">
        <x:v>https://www.ledvance.com/en-us/professional-lighting/insights/blog/lighting-basics/recommended-lighting-levels</x:v>
      </x:c>
    </x:row>
    <x:row r="44">
      <x:c r="A44" s="32" t="n">
        <x:v>40</x:v>
      </x:c>
      <x:c r="B44" s="32" t="str">
        <x:v>업무·학습</x:v>
      </x:c>
      <x:c r="C44" s="32" t="str">
        <x:v>관제센터/상황실</x:v>
      </x:c>
      <x:c r="D44" s="32" t="str">
        <x:v>300–500</x:v>
      </x:c>
      <x:c r="E44" s="38" t="n">
        <x:v>300</x:v>
      </x:c>
      <x:c r="F44" s="38" t="n">
        <x:v>500</x:v>
      </x:c>
      <x:c r="G44" s="32" t="str">
        <x:v>Cool</x:v>
      </x:c>
      <x:c r="H44" s="36" t="n">
        <x:v>0.08</x:v>
      </x:c>
      <x:c r="I44" s="36" t="n">
        <x:v>0.12</x:v>
      </x:c>
      <x:c r="J44" s="36" t="n">
        <x:f>E44*H44</x:f>
        <x:v>24</x:v>
      </x:c>
      <x:c r="K44" s="36" t="n">
        <x:f>F44*I44</x:f>
        <x:v>60</x:v>
      </x:c>
      <x:c r="L44" s="36" t="n">
        <x:f>(J44+K44)/2</x:f>
        <x:v>42</x:v>
      </x:c>
      <x:c r="M44" s="36" t="n">
        <x:f>L44*0.0036</x:f>
        <x:v>0.1512</x:v>
      </x:c>
      <x:c r="N44" s="32" t="str">
        <x:v>중간</x:v>
      </x:c>
      <x:c r="O44" s="34" t="str">
        <x:v>대형 모니터 월 + 개인 화면</x:v>
      </x:c>
      <x:c r="P44" s="34" t="str">
        <x:v>https://www.ledvance.com/en-us/professional-lighting/insights/blog/lighting-basics/recommended-lighting-levels</x:v>
      </x:c>
    </x:row>
    <x:row r="45">
      <x:c r="A45" s="32" t="n">
        <x:v>41</x:v>
      </x:c>
      <x:c r="B45" s="32" t="str">
        <x:v>업무·학습</x:v>
      </x:c>
      <x:c r="C45" s="32" t="str">
        <x:v>디자인 스튜디오</x:v>
      </x:c>
      <x:c r="D45" s="32" t="str">
        <x:v>500–750</x:v>
      </x:c>
      <x:c r="E45" s="38" t="n">
        <x:v>500</x:v>
      </x:c>
      <x:c r="F45" s="38" t="n">
        <x:v>750</x:v>
      </x:c>
      <x:c r="G45" s="32" t="str">
        <x:v>Cool</x:v>
      </x:c>
      <x:c r="H45" s="36" t="n">
        <x:v>0.08</x:v>
      </x:c>
      <x:c r="I45" s="36" t="n">
        <x:v>0.12</x:v>
      </x:c>
      <x:c r="J45" s="36" t="n">
        <x:f>E45*H45</x:f>
        <x:v>40</x:v>
      </x:c>
      <x:c r="K45" s="36" t="n">
        <x:f>F45*I45</x:f>
        <x:v>90</x:v>
      </x:c>
      <x:c r="L45" s="36" t="n">
        <x:f>(J45+K45)/2</x:f>
        <x:v>65</x:v>
      </x:c>
      <x:c r="M45" s="36" t="n">
        <x:f>L45*0.0036</x:f>
        <x:v>0.23399999999999999</x:v>
      </x:c>
      <x:c r="N45" s="32" t="str">
        <x:v>높음</x:v>
      </x:c>
      <x:c r="O45" s="34" t="str">
        <x:v>색·세부 작업 중심</x:v>
      </x:c>
      <x:c r="P45" s="34" t="str">
        <x:v>https://www.china-tasi.com/en/resourceCenterDetail/02e23bacee3b4b83903116fce05f62ff/</x:v>
      </x:c>
    </x:row>
    <x:row r="46">
      <x:c r="A46" s="32" t="n">
        <x:v>42</x:v>
      </x:c>
      <x:c r="B46" s="32" t="str">
        <x:v>업무·학습</x:v>
      </x:c>
      <x:c r="C46" s="32" t="str">
        <x:v>CAD 작업실</x:v>
      </x:c>
      <x:c r="D46" s="32" t="str">
        <x:v>500–750</x:v>
      </x:c>
      <x:c r="E46" s="38" t="n">
        <x:v>500</x:v>
      </x:c>
      <x:c r="F46" s="38" t="n">
        <x:v>750</x:v>
      </x:c>
      <x:c r="G46" s="32" t="str">
        <x:v>Cool</x:v>
      </x:c>
      <x:c r="H46" s="36" t="n">
        <x:v>0.08</x:v>
      </x:c>
      <x:c r="I46" s="36" t="n">
        <x:v>0.12</x:v>
      </x:c>
      <x:c r="J46" s="36" t="n">
        <x:f>E46*H46</x:f>
        <x:v>40</x:v>
      </x:c>
      <x:c r="K46" s="36" t="n">
        <x:f>F46*I46</x:f>
        <x:v>90</x:v>
      </x:c>
      <x:c r="L46" s="36" t="n">
        <x:f>(J46+K46)/2</x:f>
        <x:v>65</x:v>
      </x:c>
      <x:c r="M46" s="36" t="n">
        <x:f>L46*0.0036</x:f>
        <x:v>0.23399999999999999</x:v>
      </x:c>
      <x:c r="N46" s="32" t="str">
        <x:v>높음</x:v>
      </x:c>
      <x:c r="O46" s="34" t="str">
        <x:v>화면 작업 + 정밀 작업</x:v>
      </x:c>
      <x:c r="P46" s="34" t="str">
        <x:v>https://www.chinaelectric.com.tw/knowledge_detail.php?nid=6</x:v>
      </x:c>
    </x:row>
    <x:row r="47">
      <x:c r="A47" s="32" t="n">
        <x:v>43</x:v>
      </x:c>
      <x:c r="B47" s="32" t="str">
        <x:v>업무·학습</x:v>
      </x:c>
      <x:c r="C47" s="32" t="str">
        <x:v>뉴스룸/편집실</x:v>
      </x:c>
      <x:c r="D47" s="32" t="str">
        <x:v>500–750</x:v>
      </x:c>
      <x:c r="E47" s="38" t="n">
        <x:v>500</x:v>
      </x:c>
      <x:c r="F47" s="38" t="n">
        <x:v>750</x:v>
      </x:c>
      <x:c r="G47" s="32" t="str">
        <x:v>Cool</x:v>
      </x:c>
      <x:c r="H47" s="36" t="n">
        <x:v>0.08</x:v>
      </x:c>
      <x:c r="I47" s="36" t="n">
        <x:v>0.12</x:v>
      </x:c>
      <x:c r="J47" s="36" t="n">
        <x:f>E47*H47</x:f>
        <x:v>40</x:v>
      </x:c>
      <x:c r="K47" s="36" t="n">
        <x:f>F47*I47</x:f>
        <x:v>90</x:v>
      </x:c>
      <x:c r="L47" s="36" t="n">
        <x:f>(J47+K47)/2</x:f>
        <x:v>65</x:v>
      </x:c>
      <x:c r="M47" s="36" t="n">
        <x:f>L47*0.0036</x:f>
        <x:v>0.23399999999999999</x:v>
      </x:c>
      <x:c r="N47" s="32" t="str">
        <x:v>높음</x:v>
      </x:c>
      <x:c r="O47" s="34" t="str">
        <x:v>다중 화면 사용 가능</x:v>
      </x:c>
      <x:c r="P47" s="34" t="str">
        <x:v>https://www.ledvance.com/en-us/professional-lighting/insights/blog/lighting-basics/recommended-lighting-levels</x:v>
      </x:c>
    </x:row>
    <x:row r="48">
      <x:c r="A48" s="32" t="n">
        <x:v>44</x:v>
      </x:c>
      <x:c r="B48" s="32" t="str">
        <x:v>업무·학습</x:v>
      </x:c>
      <x:c r="C48" s="32" t="str">
        <x:v>데이터센터 관제실</x:v>
      </x:c>
      <x:c r="D48" s="32" t="str">
        <x:v>300–500</x:v>
      </x:c>
      <x:c r="E48" s="38" t="n">
        <x:v>300</x:v>
      </x:c>
      <x:c r="F48" s="38" t="n">
        <x:v>500</x:v>
      </x:c>
      <x:c r="G48" s="32" t="str">
        <x:v>Cool</x:v>
      </x:c>
      <x:c r="H48" s="36" t="n">
        <x:v>0.08</x:v>
      </x:c>
      <x:c r="I48" s="36" t="n">
        <x:v>0.12</x:v>
      </x:c>
      <x:c r="J48" s="36" t="n">
        <x:f>E48*H48</x:f>
        <x:v>24</x:v>
      </x:c>
      <x:c r="K48" s="36" t="n">
        <x:f>F48*I48</x:f>
        <x:v>60</x:v>
      </x:c>
      <x:c r="L48" s="36" t="n">
        <x:f>(J48+K48)/2</x:f>
        <x:v>42</x:v>
      </x:c>
      <x:c r="M48" s="36" t="n">
        <x:f>L48*0.0036</x:f>
        <x:v>0.1512</x:v>
      </x:c>
      <x:c r="N48" s="32" t="str">
        <x:v>중간</x:v>
      </x:c>
      <x:c r="O48" s="34" t="str">
        <x:v>화면 기반 관제</x:v>
      </x:c>
      <x:c r="P48" s="34" t="str">
        <x:v>https://www.ledvance.com/en-us/professional-lighting/insights/blog/lighting-basics/recommended-lighting-levels</x:v>
      </x:c>
    </x:row>
    <x:row r="49">
      <x:c r="A49" s="32" t="n">
        <x:v>45</x:v>
      </x:c>
      <x:c r="B49" s="32" t="str">
        <x:v>업무·학습</x:v>
      </x:c>
      <x:c r="C49" s="32" t="str">
        <x:v>일반 교실</x:v>
      </x:c>
      <x:c r="D49" s="32" t="str">
        <x:v>300–500</x:v>
      </x:c>
      <x:c r="E49" s="38" t="n">
        <x:v>300</x:v>
      </x:c>
      <x:c r="F49" s="38" t="n">
        <x:v>500</x:v>
      </x:c>
      <x:c r="G49" s="32" t="str">
        <x:v>Cool</x:v>
      </x:c>
      <x:c r="H49" s="36" t="n">
        <x:v>0.08</x:v>
      </x:c>
      <x:c r="I49" s="36" t="n">
        <x:v>0.12</x:v>
      </x:c>
      <x:c r="J49" s="36" t="n">
        <x:f>E49*H49</x:f>
        <x:v>24</x:v>
      </x:c>
      <x:c r="K49" s="36" t="n">
        <x:f>F49*I49</x:f>
        <x:v>60</x:v>
      </x:c>
      <x:c r="L49" s="36" t="n">
        <x:f>(J49+K49)/2</x:f>
        <x:v>42</x:v>
      </x:c>
      <x:c r="M49" s="36" t="n">
        <x:f>L49*0.0036</x:f>
        <x:v>0.1512</x:v>
      </x:c>
      <x:c r="N49" s="32" t="str">
        <x:v>중간</x:v>
      </x:c>
      <x:c r="O49" s="34" t="str">
        <x:v>학교 권장 조도</x:v>
      </x:c>
      <x:c r="P49" s="34" t="str">
        <x:v>https://www.china-tasi.com/en/resourceCenterDetail/02e23bacee3b4b83903116fce05f62ff/</x:v>
      </x:c>
    </x:row>
    <x:row r="50">
      <x:c r="A50" s="32" t="n">
        <x:v>46</x:v>
      </x:c>
      <x:c r="B50" s="32" t="str">
        <x:v>업무·학습</x:v>
      </x:c>
      <x:c r="C50" s="32" t="str">
        <x:v>대학 강의실</x:v>
      </x:c>
      <x:c r="D50" s="32" t="str">
        <x:v>300–500</x:v>
      </x:c>
      <x:c r="E50" s="38" t="n">
        <x:v>300</x:v>
      </x:c>
      <x:c r="F50" s="38" t="n">
        <x:v>500</x:v>
      </x:c>
      <x:c r="G50" s="32" t="str">
        <x:v>Neutral</x:v>
      </x:c>
      <x:c r="H50" s="36" t="n">
        <x:v>0.06</x:v>
      </x:c>
      <x:c r="I50" s="36" t="n">
        <x:v>0.1</x:v>
      </x:c>
      <x:c r="J50" s="36" t="n">
        <x:f>E50*H50</x:f>
        <x:v>18</x:v>
      </x:c>
      <x:c r="K50" s="36" t="n">
        <x:f>F50*I50</x:f>
        <x:v>50</x:v>
      </x:c>
      <x:c r="L50" s="36" t="n">
        <x:f>(J50+K50)/2</x:f>
        <x:v>34</x:v>
      </x:c>
      <x:c r="M50" s="36" t="n">
        <x:f>L50*0.0036</x:f>
        <x:v>0.1224</x:v>
      </x:c>
      <x:c r="N50" s="32" t="str">
        <x:v>중간</x:v>
      </x:c>
      <x:c r="O50" s="34" t="str">
        <x:v>강의·필기·프로젝터 혼용</x:v>
      </x:c>
      <x:c r="P50" s="34" t="str">
        <x:v>https://www.ledvance.com/en-us/professional-lighting/insights/blog/lighting-basics/recommended-lighting-levels</x:v>
      </x:c>
    </x:row>
    <x:row r="51">
      <x:c r="A51" s="32" t="n">
        <x:v>47</x:v>
      </x:c>
      <x:c r="B51" s="32" t="str">
        <x:v>업무·학습</x:v>
      </x:c>
      <x:c r="C51" s="32" t="str">
        <x:v>컴퓨터실</x:v>
      </x:c>
      <x:c r="D51" s="32" t="str">
        <x:v>300–500</x:v>
      </x:c>
      <x:c r="E51" s="38" t="n">
        <x:v>300</x:v>
      </x:c>
      <x:c r="F51" s="38" t="n">
        <x:v>500</x:v>
      </x:c>
      <x:c r="G51" s="32" t="str">
        <x:v>Cool</x:v>
      </x:c>
      <x:c r="H51" s="36" t="n">
        <x:v>0.08</x:v>
      </x:c>
      <x:c r="I51" s="36" t="n">
        <x:v>0.12</x:v>
      </x:c>
      <x:c r="J51" s="36" t="n">
        <x:f>E51*H51</x:f>
        <x:v>24</x:v>
      </x:c>
      <x:c r="K51" s="36" t="n">
        <x:f>F51*I51</x:f>
        <x:v>60</x:v>
      </x:c>
      <x:c r="L51" s="36" t="n">
        <x:f>(J51+K51)/2</x:f>
        <x:v>42</x:v>
      </x:c>
      <x:c r="M51" s="36" t="n">
        <x:f>L51*0.0036</x:f>
        <x:v>0.1512</x:v>
      </x:c>
      <x:c r="N51" s="32" t="str">
        <x:v>중간</x:v>
      </x:c>
      <x:c r="O51" s="34" t="str">
        <x:v>모니터 직접 노출 추가</x:v>
      </x:c>
      <x:c r="P51" s="34" t="str">
        <x:v>https://www.tlc-direct.co.uk/Technical/DataSheets/Illuma/LightLevels.htm</x:v>
      </x:c>
    </x:row>
    <x:row r="52">
      <x:c r="A52" s="32" t="n">
        <x:v>48</x:v>
      </x:c>
      <x:c r="B52" s="32" t="str">
        <x:v>업무·학습</x:v>
      </x:c>
      <x:c r="C52" s="32" t="str">
        <x:v>도서관 열람실</x:v>
      </x:c>
      <x:c r="D52" s="32" t="str">
        <x:v>300–500</x:v>
      </x:c>
      <x:c r="E52" s="38" t="n">
        <x:v>300</x:v>
      </x:c>
      <x:c r="F52" s="38" t="n">
        <x:v>500</x:v>
      </x:c>
      <x:c r="G52" s="32" t="str">
        <x:v>Neutral</x:v>
      </x:c>
      <x:c r="H52" s="36" t="n">
        <x:v>0.06</x:v>
      </x:c>
      <x:c r="I52" s="36" t="n">
        <x:v>0.1</x:v>
      </x:c>
      <x:c r="J52" s="36" t="n">
        <x:f>E52*H52</x:f>
        <x:v>18</x:v>
      </x:c>
      <x:c r="K52" s="36" t="n">
        <x:f>F52*I52</x:f>
        <x:v>50</x:v>
      </x:c>
      <x:c r="L52" s="36" t="n">
        <x:f>(J52+K52)/2</x:f>
        <x:v>34</x:v>
      </x:c>
      <x:c r="M52" s="36" t="n">
        <x:f>L52*0.0036</x:f>
        <x:v>0.1224</x:v>
      </x:c>
      <x:c r="N52" s="32" t="str">
        <x:v>중간</x:v>
      </x:c>
      <x:c r="O52" s="34" t="str">
        <x:v>독서·학습 공간</x:v>
      </x:c>
      <x:c r="P52" s="34" t="str">
        <x:v>https://www.ledvance.com/en-us/professional-lighting/insights/blog/lighting-basics/recommended-lighting-levels</x:v>
      </x:c>
    </x:row>
    <x:row r="53">
      <x:c r="A53" s="32" t="n">
        <x:v>49</x:v>
      </x:c>
      <x:c r="B53" s="32" t="str">
        <x:v>업무·학습</x:v>
      </x:c>
      <x:c r="C53" s="32" t="str">
        <x:v>도서관 서가</x:v>
      </x:c>
      <x:c r="D53" s="32" t="str">
        <x:v>200–300</x:v>
      </x:c>
      <x:c r="E53" s="38" t="n">
        <x:v>200</x:v>
      </x:c>
      <x:c r="F53" s="38" t="n">
        <x:v>300</x:v>
      </x:c>
      <x:c r="G53" s="32" t="str">
        <x:v>Neutral</x:v>
      </x:c>
      <x:c r="H53" s="36" t="n">
        <x:v>0.06</x:v>
      </x:c>
      <x:c r="I53" s="36" t="n">
        <x:v>0.1</x:v>
      </x:c>
      <x:c r="J53" s="36" t="n">
        <x:f>E53*H53</x:f>
        <x:v>12</x:v>
      </x:c>
      <x:c r="K53" s="36" t="n">
        <x:f>F53*I53</x:f>
        <x:v>30</x:v>
      </x:c>
      <x:c r="L53" s="36" t="n">
        <x:f>(J53+K53)/2</x:f>
        <x:v>21</x:v>
      </x:c>
      <x:c r="M53" s="36" t="n">
        <x:f>L53*0.0036</x:f>
        <x:v>0.0756</x:v>
      </x:c>
      <x:c r="N53" s="32" t="str">
        <x:v>낮음</x:v>
      </x:c>
      <x:c r="O53" s="34" t="str">
        <x:v>서가 탐색 공간</x:v>
      </x:c>
      <x:c r="P53" s="34" t="str">
        <x:v>https://www.china-tasi.com/en/resourceCenterDetail/02e23bacee3b4b83903116fce05f62ff/</x:v>
      </x:c>
    </x:row>
    <x:row r="54">
      <x:c r="A54" s="32" t="n">
        <x:v>50</x:v>
      </x:c>
      <x:c r="B54" s="32" t="str">
        <x:v>업무·학습</x:v>
      </x:c>
      <x:c r="C54" s="32" t="str">
        <x:v>스터디카페</x:v>
      </x:c>
      <x:c r="D54" s="32" t="str">
        <x:v>300–500</x:v>
      </x:c>
      <x:c r="E54" s="38" t="n">
        <x:v>300</x:v>
      </x:c>
      <x:c r="F54" s="38" t="n">
        <x:v>500</x:v>
      </x:c>
      <x:c r="G54" s="32" t="str">
        <x:v>Cool</x:v>
      </x:c>
      <x:c r="H54" s="36" t="n">
        <x:v>0.08</x:v>
      </x:c>
      <x:c r="I54" s="36" t="n">
        <x:v>0.12</x:v>
      </x:c>
      <x:c r="J54" s="36" t="n">
        <x:f>E54*H54</x:f>
        <x:v>24</x:v>
      </x:c>
      <x:c r="K54" s="36" t="n">
        <x:f>F54*I54</x:f>
        <x:v>60</x:v>
      </x:c>
      <x:c r="L54" s="36" t="n">
        <x:f>(J54+K54)/2</x:f>
        <x:v>42</x:v>
      </x:c>
      <x:c r="M54" s="36" t="n">
        <x:f>L54*0.0036</x:f>
        <x:v>0.1512</x:v>
      </x:c>
      <x:c r="N54" s="32" t="str">
        <x:v>중간</x:v>
      </x:c>
      <x:c r="O54" s="34" t="str">
        <x:v>독서 + 노트북/태블릿 사용 빈번</x:v>
      </x:c>
      <x:c r="P54" s="34" t="str">
        <x:v>https://www.ledvance.com/en-us/professional-lighting/insights/blog/lighting-basics/recommended-lighting-levels</x:v>
      </x:c>
    </x:row>
    <x:row r="55">
      <x:c r="A55" s="32" t="n">
        <x:v>51</x:v>
      </x:c>
      <x:c r="B55" s="32" t="str">
        <x:v>업무·학습</x:v>
      </x:c>
      <x:c r="C55" s="32" t="str">
        <x:v>학원 강의실</x:v>
      </x:c>
      <x:c r="D55" s="32" t="str">
        <x:v>300–500</x:v>
      </x:c>
      <x:c r="E55" s="38" t="n">
        <x:v>300</x:v>
      </x:c>
      <x:c r="F55" s="38" t="n">
        <x:v>500</x:v>
      </x:c>
      <x:c r="G55" s="32" t="str">
        <x:v>Cool</x:v>
      </x:c>
      <x:c r="H55" s="36" t="n">
        <x:v>0.08</x:v>
      </x:c>
      <x:c r="I55" s="36" t="n">
        <x:v>0.12</x:v>
      </x:c>
      <x:c r="J55" s="36" t="n">
        <x:f>E55*H55</x:f>
        <x:v>24</x:v>
      </x:c>
      <x:c r="K55" s="36" t="n">
        <x:f>F55*I55</x:f>
        <x:v>60</x:v>
      </x:c>
      <x:c r="L55" s="36" t="n">
        <x:f>(J55+K55)/2</x:f>
        <x:v>42</x:v>
      </x:c>
      <x:c r="M55" s="36" t="n">
        <x:f>L55*0.0036</x:f>
        <x:v>0.1512</x:v>
      </x:c>
      <x:c r="N55" s="32" t="str">
        <x:v>중간</x:v>
      </x:c>
      <x:c r="O55" s="34" t="str">
        <x:v>교실과 유사</x:v>
      </x:c>
      <x:c r="P55" s="34" t="str">
        <x:v>https://www.china-tasi.com/en/resourceCenterDetail/02e23bacee3b4b83903116fce05f62ff/</x:v>
      </x:c>
    </x:row>
    <x:row r="56">
      <x:c r="A56" s="32" t="n">
        <x:v>52</x:v>
      </x:c>
      <x:c r="B56" s="32" t="str">
        <x:v>업무·학습</x:v>
      </x:c>
      <x:c r="C56" s="32" t="str">
        <x:v>미술실</x:v>
      </x:c>
      <x:c r="D56" s="32" t="str">
        <x:v>500–750</x:v>
      </x:c>
      <x:c r="E56" s="38" t="n">
        <x:v>500</x:v>
      </x:c>
      <x:c r="F56" s="38" t="n">
        <x:v>750</x:v>
      </x:c>
      <x:c r="G56" s="32" t="str">
        <x:v>Neutral</x:v>
      </x:c>
      <x:c r="H56" s="36" t="n">
        <x:v>0.06</x:v>
      </x:c>
      <x:c r="I56" s="36" t="n">
        <x:v>0.1</x:v>
      </x:c>
      <x:c r="J56" s="36" t="n">
        <x:f>E56*H56</x:f>
        <x:v>30</x:v>
      </x:c>
      <x:c r="K56" s="36" t="n">
        <x:f>F56*I56</x:f>
        <x:v>75</x:v>
      </x:c>
      <x:c r="L56" s="36" t="n">
        <x:f>(J56+K56)/2</x:f>
        <x:v>52.5</x:v>
      </x:c>
      <x:c r="M56" s="36" t="n">
        <x:f>L56*0.0036</x:f>
        <x:v>0.189</x:v>
      </x:c>
      <x:c r="N56" s="32" t="str">
        <x:v>중간</x:v>
      </x:c>
      <x:c r="O56" s="34" t="str">
        <x:v>색 식별·세부 작업</x:v>
      </x:c>
      <x:c r="P56" s="34" t="str">
        <x:v>https://www.china-tasi.com/en/resourceCenterDetail/02e23bacee3b4b83903116fce05f62ff/</x:v>
      </x:c>
    </x:row>
    <x:row r="57">
      <x:c r="A57" s="32" t="n">
        <x:v>53</x:v>
      </x:c>
      <x:c r="B57" s="32" t="str">
        <x:v>업무·학습</x:v>
      </x:c>
      <x:c r="C57" s="32" t="str">
        <x:v>학교 실험실</x:v>
      </x:c>
      <x:c r="D57" s="32" t="str">
        <x:v>500–750</x:v>
      </x:c>
      <x:c r="E57" s="38" t="n">
        <x:v>500</x:v>
      </x:c>
      <x:c r="F57" s="38" t="n">
        <x:v>750</x:v>
      </x:c>
      <x:c r="G57" s="32" t="str">
        <x:v>Cool</x:v>
      </x:c>
      <x:c r="H57" s="36" t="n">
        <x:v>0.08</x:v>
      </x:c>
      <x:c r="I57" s="36" t="n">
        <x:v>0.12</x:v>
      </x:c>
      <x:c r="J57" s="36" t="n">
        <x:f>E57*H57</x:f>
        <x:v>40</x:v>
      </x:c>
      <x:c r="K57" s="36" t="n">
        <x:f>F57*I57</x:f>
        <x:v>90</x:v>
      </x:c>
      <x:c r="L57" s="36" t="n">
        <x:f>(J57+K57)/2</x:f>
        <x:v>65</x:v>
      </x:c>
      <x:c r="M57" s="36" t="n">
        <x:f>L57*0.0036</x:f>
        <x:v>0.23399999999999999</x:v>
      </x:c>
      <x:c r="N57" s="32" t="str">
        <x:v>높음</x:v>
      </x:c>
      <x:c r="O57" s="34" t="str">
        <x:v>실험 작업 권장 조도</x:v>
      </x:c>
      <x:c r="P57" s="34" t="str">
        <x:v>https://www.ledvance.com/en-us/professional-lighting/insights/blog/lighting-basics/recommended-lighting-levels</x:v>
      </x:c>
    </x:row>
    <x:row r="58">
      <x:c r="A58" s="32" t="n">
        <x:v>54</x:v>
      </x:c>
      <x:c r="B58" s="32" t="str">
        <x:v>업무·학습</x:v>
      </x:c>
      <x:c r="C58" s="32" t="str">
        <x:v>연구실/전문 실험실</x:v>
      </x:c>
      <x:c r="D58" s="32" t="str">
        <x:v>750–1200</x:v>
      </x:c>
      <x:c r="E58" s="38" t="n">
        <x:v>750</x:v>
      </x:c>
      <x:c r="F58" s="38" t="n">
        <x:v>1200</x:v>
      </x:c>
      <x:c r="G58" s="32" t="str">
        <x:v>Cool</x:v>
      </x:c>
      <x:c r="H58" s="36" t="n">
        <x:v>0.08</x:v>
      </x:c>
      <x:c r="I58" s="36" t="n">
        <x:v>0.12</x:v>
      </x:c>
      <x:c r="J58" s="36" t="n">
        <x:f>E58*H58</x:f>
        <x:v>60</x:v>
      </x:c>
      <x:c r="K58" s="36" t="n">
        <x:f>F58*I58</x:f>
        <x:v>144</x:v>
      </x:c>
      <x:c r="L58" s="36" t="n">
        <x:f>(J58+K58)/2</x:f>
        <x:v>102</x:v>
      </x:c>
      <x:c r="M58" s="36" t="n">
        <x:f>L58*0.0036</x:f>
        <x:v>0.36719999999999997</x:v>
      </x:c>
      <x:c r="N58" s="32" t="str">
        <x:v>매우 높음</x:v>
      </x:c>
      <x:c r="O58" s="34" t="str">
        <x:v>정밀 실험·판독</x:v>
      </x:c>
      <x:c r="P58" s="34" t="str">
        <x:v>https://www.ledvance.com/en-us/professional-lighting/insights/blog/lighting-basics/recommended-lighting-levels</x:v>
      </x:c>
    </x:row>
    <x:row r="59">
      <x:c r="A59" s="32" t="n">
        <x:v>55</x:v>
      </x:c>
      <x:c r="B59" s="32" t="str">
        <x:v>업무·학습</x:v>
      </x:c>
      <x:c r="C59" s="32" t="str">
        <x:v>코워킹 스페이스</x:v>
      </x:c>
      <x:c r="D59" s="32" t="str">
        <x:v>300–500</x:v>
      </x:c>
      <x:c r="E59" s="38" t="n">
        <x:v>300</x:v>
      </x:c>
      <x:c r="F59" s="38" t="n">
        <x:v>500</x:v>
      </x:c>
      <x:c r="G59" s="32" t="str">
        <x:v>Neutral</x:v>
      </x:c>
      <x:c r="H59" s="36" t="n">
        <x:v>0.06</x:v>
      </x:c>
      <x:c r="I59" s="36" t="n">
        <x:v>0.1</x:v>
      </x:c>
      <x:c r="J59" s="36" t="n">
        <x:f>E59*H59</x:f>
        <x:v>18</x:v>
      </x:c>
      <x:c r="K59" s="36" t="n">
        <x:f>F59*I59</x:f>
        <x:v>50</x:v>
      </x:c>
      <x:c r="L59" s="36" t="n">
        <x:f>(J59+K59)/2</x:f>
        <x:v>34</x:v>
      </x:c>
      <x:c r="M59" s="36" t="n">
        <x:f>L59*0.0036</x:f>
        <x:v>0.1224</x:v>
      </x:c>
      <x:c r="N59" s="32" t="str">
        <x:v>중간</x:v>
      </x:c>
      <x:c r="O59" s="34" t="str">
        <x:v>사무+노트북 혼합 환경</x:v>
      </x:c>
      <x:c r="P59" s="34" t="str">
        <x:v>https://www.china-tasi.com/en/resourceCenterDetail/02e23bacee3b4b83903116fce05f62ff/</x:v>
      </x:c>
    </x:row>
    <x:row r="60">
      <x:c r="A60" s="32" t="n">
        <x:v>56</x:v>
      </x:c>
      <x:c r="B60" s="32" t="str">
        <x:v>의료·뷰티</x:v>
      </x:c>
      <x:c r="C60" s="32" t="str">
        <x:v>병원 로비</x:v>
      </x:c>
      <x:c r="D60" s="32" t="str">
        <x:v>150–300</x:v>
      </x:c>
      <x:c r="E60" s="38" t="n">
        <x:v>150</x:v>
      </x:c>
      <x:c r="F60" s="38" t="n">
        <x:v>300</x:v>
      </x:c>
      <x:c r="G60" s="32" t="str">
        <x:v>Neutral</x:v>
      </x:c>
      <x:c r="H60" s="36" t="n">
        <x:v>0.06</x:v>
      </x:c>
      <x:c r="I60" s="36" t="n">
        <x:v>0.1</x:v>
      </x:c>
      <x:c r="J60" s="36" t="n">
        <x:f>E60*H60</x:f>
        <x:v>9</x:v>
      </x:c>
      <x:c r="K60" s="36" t="n">
        <x:f>F60*I60</x:f>
        <x:v>30</x:v>
      </x:c>
      <x:c r="L60" s="36" t="n">
        <x:f>(J60+K60)/2</x:f>
        <x:v>19.5</x:v>
      </x:c>
      <x:c r="M60" s="36" t="n">
        <x:f>L60*0.0036</x:f>
        <x:v>0.0702</x:v>
      </x:c>
      <x:c r="N60" s="32" t="str">
        <x:v>낮음</x:v>
      </x:c>
      <x:c r="O60" s="34" t="str">
        <x:v>대기·이동 중심</x:v>
      </x:c>
      <x:c r="P60" s="34" t="str">
        <x:v>https://www.tlc-direct.co.uk/Technical/DataSheets/Illuma/LightLevels.htm</x:v>
      </x:c>
    </x:row>
    <x:row r="61">
      <x:c r="A61" s="32" t="n">
        <x:v>57</x:v>
      </x:c>
      <x:c r="B61" s="32" t="str">
        <x:v>의료·뷰티</x:v>
      </x:c>
      <x:c r="C61" s="32" t="str">
        <x:v>외래 대기실</x:v>
      </x:c>
      <x:c r="D61" s="32" t="str">
        <x:v>100–200</x:v>
      </x:c>
      <x:c r="E61" s="38" t="n">
        <x:v>100</x:v>
      </x:c>
      <x:c r="F61" s="38" t="n">
        <x:v>200</x:v>
      </x:c>
      <x:c r="G61" s="32" t="str">
        <x:v>Neutral</x:v>
      </x:c>
      <x:c r="H61" s="36" t="n">
        <x:v>0.06</x:v>
      </x:c>
      <x:c r="I61" s="36" t="n">
        <x:v>0.1</x:v>
      </x:c>
      <x:c r="J61" s="36" t="n">
        <x:f>E61*H61</x:f>
        <x:v>6</x:v>
      </x:c>
      <x:c r="K61" s="36" t="n">
        <x:f>F61*I61</x:f>
        <x:v>20</x:v>
      </x:c>
      <x:c r="L61" s="36" t="n">
        <x:f>(J61+K61)/2</x:f>
        <x:v>13</x:v>
      </x:c>
      <x:c r="M61" s="36" t="n">
        <x:f>L61*0.0036</x:f>
        <x:v>0.0468</x:v>
      </x:c>
      <x:c r="N61" s="32" t="str">
        <x:v>낮음</x:v>
      </x:c>
      <x:c r="O61" s="34" t="str">
        <x:v>일반 대기 공간</x:v>
      </x:c>
      <x:c r="P61" s="34" t="str">
        <x:v>https://architectural-lighting.com/</x:v>
      </x:c>
    </x:row>
    <x:row r="62">
      <x:c r="A62" s="32" t="n">
        <x:v>58</x:v>
      </x:c>
      <x:c r="B62" s="32" t="str">
        <x:v>의료·뷰티</x:v>
      </x:c>
      <x:c r="C62" s="32" t="str">
        <x:v>진료실 일반조명</x:v>
      </x:c>
      <x:c r="D62" s="32" t="str">
        <x:v>500–750</x:v>
      </x:c>
      <x:c r="E62" s="38" t="n">
        <x:v>500</x:v>
      </x:c>
      <x:c r="F62" s="38" t="n">
        <x:v>750</x:v>
      </x:c>
      <x:c r="G62" s="32" t="str">
        <x:v>Cool</x:v>
      </x:c>
      <x:c r="H62" s="36" t="n">
        <x:v>0.08</x:v>
      </x:c>
      <x:c r="I62" s="36" t="n">
        <x:v>0.12</x:v>
      </x:c>
      <x:c r="J62" s="36" t="n">
        <x:f>E62*H62</x:f>
        <x:v>40</x:v>
      </x:c>
      <x:c r="K62" s="36" t="n">
        <x:f>F62*I62</x:f>
        <x:v>90</x:v>
      </x:c>
      <x:c r="L62" s="36" t="n">
        <x:f>(J62+K62)/2</x:f>
        <x:v>65</x:v>
      </x:c>
      <x:c r="M62" s="36" t="n">
        <x:f>L62*0.0036</x:f>
        <x:v>0.23399999999999999</x:v>
      </x:c>
      <x:c r="N62" s="32" t="str">
        <x:v>높음</x:v>
      </x:c>
      <x:c r="O62" s="34" t="str">
        <x:v>진찰·문서 판독</x:v>
      </x:c>
      <x:c r="P62" s="34" t="str">
        <x:v>https://architectural-lighting.com/</x:v>
      </x:c>
    </x:row>
    <x:row r="63">
      <x:c r="A63" s="32" t="n">
        <x:v>59</x:v>
      </x:c>
      <x:c r="B63" s="32" t="str">
        <x:v>의료·뷰티</x:v>
      </x:c>
      <x:c r="C63" s="32" t="str">
        <x:v>진찰/처치 시 국부조명</x:v>
      </x:c>
      <x:c r="D63" s="32" t="str">
        <x:v>1000–1500</x:v>
      </x:c>
      <x:c r="E63" s="38" t="n">
        <x:v>1000</x:v>
      </x:c>
      <x:c r="F63" s="38" t="n">
        <x:v>1500</x:v>
      </x:c>
      <x:c r="G63" s="32" t="str">
        <x:v>Cool</x:v>
      </x:c>
      <x:c r="H63" s="36" t="n">
        <x:v>0.08</x:v>
      </x:c>
      <x:c r="I63" s="36" t="n">
        <x:v>0.12</x:v>
      </x:c>
      <x:c r="J63" s="36" t="n">
        <x:f>E63*H63</x:f>
        <x:v>80</x:v>
      </x:c>
      <x:c r="K63" s="36" t="n">
        <x:f>F63*I63</x:f>
        <x:v>180</x:v>
      </x:c>
      <x:c r="L63" s="36" t="n">
        <x:f>(J63+K63)/2</x:f>
        <x:v>130</x:v>
      </x:c>
      <x:c r="M63" s="36" t="n">
        <x:f>L63*0.0036</x:f>
        <x:v>0.46799999999999997</x:v>
      </x:c>
      <x:c r="N63" s="32" t="str">
        <x:v>매우 높음</x:v>
      </x:c>
      <x:c r="O63" s="34" t="str">
        <x:v>처치 국부조명은 더 높음</x:v>
      </x:c>
      <x:c r="P63" s="34" t="str">
        <x:v>https://architectural-lighting.com/</x:v>
      </x:c>
    </x:row>
    <x:row r="64">
      <x:c r="A64" s="32" t="n">
        <x:v>60</x:v>
      </x:c>
      <x:c r="B64" s="32" t="str">
        <x:v>의료·뷰티</x:v>
      </x:c>
      <x:c r="C64" s="32" t="str">
        <x:v>간호사 스테이션</x:v>
      </x:c>
      <x:c r="D64" s="32" t="str">
        <x:v>300–500</x:v>
      </x:c>
      <x:c r="E64" s="38" t="n">
        <x:v>300</x:v>
      </x:c>
      <x:c r="F64" s="38" t="n">
        <x:v>500</x:v>
      </x:c>
      <x:c r="G64" s="32" t="str">
        <x:v>Cool</x:v>
      </x:c>
      <x:c r="H64" s="36" t="n">
        <x:v>0.08</x:v>
      </x:c>
      <x:c r="I64" s="36" t="n">
        <x:v>0.12</x:v>
      </x:c>
      <x:c r="J64" s="36" t="n">
        <x:f>E64*H64</x:f>
        <x:v>24</x:v>
      </x:c>
      <x:c r="K64" s="36" t="n">
        <x:f>F64*I64</x:f>
        <x:v>60</x:v>
      </x:c>
      <x:c r="L64" s="36" t="n">
        <x:f>(J64+K64)/2</x:f>
        <x:v>42</x:v>
      </x:c>
      <x:c r="M64" s="36" t="n">
        <x:f>L64*0.0036</x:f>
        <x:v>0.1512</x:v>
      </x:c>
      <x:c r="N64" s="32" t="str">
        <x:v>중간</x:v>
      </x:c>
      <x:c r="O64" s="34" t="str">
        <x:v>문서·모니터 작업</x:v>
      </x:c>
      <x:c r="P64" s="34" t="str">
        <x:v>https://architectural-lighting.com/</x:v>
      </x:c>
    </x:row>
    <x:row r="65">
      <x:c r="A65" s="32" t="n">
        <x:v>61</x:v>
      </x:c>
      <x:c r="B65" s="32" t="str">
        <x:v>의료·뷰티</x:v>
      </x:c>
      <x:c r="C65" s="32" t="str">
        <x:v>일반 병실</x:v>
      </x:c>
      <x:c r="D65" s="32" t="str">
        <x:v>100–300</x:v>
      </x:c>
      <x:c r="E65" s="38" t="n">
        <x:v>100</x:v>
      </x:c>
      <x:c r="F65" s="38" t="n">
        <x:v>300</x:v>
      </x:c>
      <x:c r="G65" s="32" t="str">
        <x:v>Warm</x:v>
      </x:c>
      <x:c r="H65" s="36" t="n">
        <x:v>0.04</x:v>
      </x:c>
      <x:c r="I65" s="36" t="n">
        <x:v>0.07</x:v>
      </x:c>
      <x:c r="J65" s="36" t="n">
        <x:f>E65*H65</x:f>
        <x:v>4</x:v>
      </x:c>
      <x:c r="K65" s="36" t="n">
        <x:f>F65*I65</x:f>
        <x:v>21.000000000000004</x:v>
      </x:c>
      <x:c r="L65" s="36" t="n">
        <x:f>(J65+K65)/2</x:f>
        <x:v>12.500000000000002</x:v>
      </x:c>
      <x:c r="M65" s="36" t="n">
        <x:f>L65*0.0036</x:f>
        <x:v>0.045000000000000005</x:v>
      </x:c>
      <x:c r="N65" s="32" t="str">
        <x:v>낮음</x:v>
      </x:c>
      <x:c r="O65" s="34" t="str">
        <x:v>환자 휴식 중심</x:v>
      </x:c>
      <x:c r="P65" s="34" t="str">
        <x:v>https://architectural-lighting.com/</x:v>
      </x:c>
    </x:row>
    <x:row r="66">
      <x:c r="A66" s="32" t="n">
        <x:v>62</x:v>
      </x:c>
      <x:c r="B66" s="32" t="str">
        <x:v>의료·뷰티</x:v>
      </x:c>
      <x:c r="C66" s="32" t="str">
        <x:v>중환자실(ICU)</x:v>
      </x:c>
      <x:c r="D66" s="32" t="str">
        <x:v>100–300</x:v>
      </x:c>
      <x:c r="E66" s="38" t="n">
        <x:v>100</x:v>
      </x:c>
      <x:c r="F66" s="38" t="n">
        <x:v>300</x:v>
      </x:c>
      <x:c r="G66" s="32" t="str">
        <x:v>Neutral</x:v>
      </x:c>
      <x:c r="H66" s="36" t="n">
        <x:v>0.06</x:v>
      </x:c>
      <x:c r="I66" s="36" t="n">
        <x:v>0.1</x:v>
      </x:c>
      <x:c r="J66" s="36" t="n">
        <x:f>E66*H66</x:f>
        <x:v>6</x:v>
      </x:c>
      <x:c r="K66" s="36" t="n">
        <x:f>F66*I66</x:f>
        <x:v>30</x:v>
      </x:c>
      <x:c r="L66" s="36" t="n">
        <x:f>(J66+K66)/2</x:f>
        <x:v>18</x:v>
      </x:c>
      <x:c r="M66" s="36" t="n">
        <x:f>L66*0.0036</x:f>
        <x:v>0.0648</x:v>
      </x:c>
      <x:c r="N66" s="32" t="str">
        <x:v>낮음</x:v>
      </x:c>
      <x:c r="O66" s="34" t="str">
        <x:v>상황에 따라 조도 변동</x:v>
      </x:c>
      <x:c r="P66" s="34" t="str">
        <x:v>https://architectural-lighting.com/</x:v>
      </x:c>
    </x:row>
    <x:row r="67">
      <x:c r="A67" s="32" t="n">
        <x:v>63</x:v>
      </x:c>
      <x:c r="B67" s="32" t="str">
        <x:v>의료·뷰티</x:v>
      </x:c>
      <x:c r="C67" s="32" t="str">
        <x:v>약제부 조제대</x:v>
      </x:c>
      <x:c r="D67" s="32" t="str">
        <x:v>500–750</x:v>
      </x:c>
      <x:c r="E67" s="38" t="n">
        <x:v>500</x:v>
      </x:c>
      <x:c r="F67" s="38" t="n">
        <x:v>750</x:v>
      </x:c>
      <x:c r="G67" s="32" t="str">
        <x:v>Cool</x:v>
      </x:c>
      <x:c r="H67" s="36" t="n">
        <x:v>0.08</x:v>
      </x:c>
      <x:c r="I67" s="36" t="n">
        <x:v>0.12</x:v>
      </x:c>
      <x:c r="J67" s="36" t="n">
        <x:f>E67*H67</x:f>
        <x:v>40</x:v>
      </x:c>
      <x:c r="K67" s="36" t="n">
        <x:f>F67*I67</x:f>
        <x:v>90</x:v>
      </x:c>
      <x:c r="L67" s="36" t="n">
        <x:f>(J67+K67)/2</x:f>
        <x:v>65</x:v>
      </x:c>
      <x:c r="M67" s="36" t="n">
        <x:f>L67*0.0036</x:f>
        <x:v>0.23399999999999999</x:v>
      </x:c>
      <x:c r="N67" s="32" t="str">
        <x:v>높음</x:v>
      </x:c>
      <x:c r="O67" s="34" t="str">
        <x:v>라벨·약품 식별</x:v>
      </x:c>
      <x:c r="P67" s="34" t="str">
        <x:v>https://architectural-lighting.com/</x:v>
      </x:c>
    </x:row>
    <x:row r="68">
      <x:c r="A68" s="32" t="n">
        <x:v>64</x:v>
      </x:c>
      <x:c r="B68" s="32" t="str">
        <x:v>의료·뷰티</x:v>
      </x:c>
      <x:c r="C68" s="32" t="str">
        <x:v>임상검사실</x:v>
      </x:c>
      <x:c r="D68" s="32" t="str">
        <x:v>500–1000</x:v>
      </x:c>
      <x:c r="E68" s="38" t="n">
        <x:v>500</x:v>
      </x:c>
      <x:c r="F68" s="38" t="n">
        <x:v>1000</x:v>
      </x:c>
      <x:c r="G68" s="32" t="str">
        <x:v>Cool</x:v>
      </x:c>
      <x:c r="H68" s="36" t="n">
        <x:v>0.08</x:v>
      </x:c>
      <x:c r="I68" s="36" t="n">
        <x:v>0.12</x:v>
      </x:c>
      <x:c r="J68" s="36" t="n">
        <x:f>E68*H68</x:f>
        <x:v>40</x:v>
      </x:c>
      <x:c r="K68" s="36" t="n">
        <x:f>F68*I68</x:f>
        <x:v>120</x:v>
      </x:c>
      <x:c r="L68" s="36" t="n">
        <x:f>(J68+K68)/2</x:f>
        <x:v>80</x:v>
      </x:c>
      <x:c r="M68" s="36" t="n">
        <x:f>L68*0.0036</x:f>
        <x:v>0.288</x:v>
      </x:c>
      <x:c r="N68" s="32" t="str">
        <x:v>높음</x:v>
      </x:c>
      <x:c r="O68" s="34" t="str">
        <x:v>검사·판독 작업</x:v>
      </x:c>
      <x:c r="P68" s="34" t="str">
        <x:v>https://architectural-lighting.com/</x:v>
      </x:c>
    </x:row>
    <x:row r="69">
      <x:c r="A69" s="32" t="n">
        <x:v>65</x:v>
      </x:c>
      <x:c r="B69" s="32" t="str">
        <x:v>의료·뷰티</x:v>
      </x:c>
      <x:c r="C69" s="32" t="str">
        <x:v>영상의학 판독실</x:v>
      </x:c>
      <x:c r="D69" s="32" t="str">
        <x:v>50–200</x:v>
      </x:c>
      <x:c r="E69" s="38" t="n">
        <x:v>50</x:v>
      </x:c>
      <x:c r="F69" s="38" t="n">
        <x:v>200</x:v>
      </x:c>
      <x:c r="G69" s="32" t="str">
        <x:v>Neutral</x:v>
      </x:c>
      <x:c r="H69" s="36" t="n">
        <x:v>0.06</x:v>
      </x:c>
      <x:c r="I69" s="36" t="n">
        <x:v>0.1</x:v>
      </x:c>
      <x:c r="J69" s="36" t="n">
        <x:f>E69*H69</x:f>
        <x:v>3</x:v>
      </x:c>
      <x:c r="K69" s="36" t="n">
        <x:f>F69*I69</x:f>
        <x:v>20</x:v>
      </x:c>
      <x:c r="L69" s="36" t="n">
        <x:f>(J69+K69)/2</x:f>
        <x:v>11.5</x:v>
      </x:c>
      <x:c r="M69" s="36" t="n">
        <x:f>L69*0.0036</x:f>
        <x:v>0.0414</x:v>
      </x:c>
      <x:c r="N69" s="32" t="str">
        <x:v>낮음</x:v>
      </x:c>
      <x:c r="O69" s="34" t="str">
        <x:v>주변은 어둡고 고휘도 모니터 사용</x:v>
      </x:c>
      <x:c r="P69" s="34" t="str">
        <x:v>https://www.tlc-direct.co.uk/Technical/DataSheets/Illuma/LightLevels.htm</x:v>
      </x:c>
    </x:row>
    <x:row r="70">
      <x:c r="A70" s="32" t="n">
        <x:v>66</x:v>
      </x:c>
      <x:c r="B70" s="32" t="str">
        <x:v>의료·뷰티</x:v>
      </x:c>
      <x:c r="C70" s="32" t="str">
        <x:v>치과 진료실 일반조명</x:v>
      </x:c>
      <x:c r="D70" s="32" t="str">
        <x:v>500–1000</x:v>
      </x:c>
      <x:c r="E70" s="38" t="n">
        <x:v>500</x:v>
      </x:c>
      <x:c r="F70" s="38" t="n">
        <x:v>1000</x:v>
      </x:c>
      <x:c r="G70" s="32" t="str">
        <x:v>Cool</x:v>
      </x:c>
      <x:c r="H70" s="36" t="n">
        <x:v>0.08</x:v>
      </x:c>
      <x:c r="I70" s="36" t="n">
        <x:v>0.12</x:v>
      </x:c>
      <x:c r="J70" s="36" t="n">
        <x:f>E70*H70</x:f>
        <x:v>40</x:v>
      </x:c>
      <x:c r="K70" s="36" t="n">
        <x:f>F70*I70</x:f>
        <x:v>120</x:v>
      </x:c>
      <x:c r="L70" s="36" t="n">
        <x:f>(J70+K70)/2</x:f>
        <x:v>80</x:v>
      </x:c>
      <x:c r="M70" s="36" t="n">
        <x:f>L70*0.0036</x:f>
        <x:v>0.288</x:v>
      </x:c>
      <x:c r="N70" s="32" t="str">
        <x:v>높음</x:v>
      </x:c>
      <x:c r="O70" s="34" t="str">
        <x:v>치과 의자 국부조명은 훨씬 높을 수 있음</x:v>
      </x:c>
      <x:c r="P70" s="34" t="str">
        <x:v>https://architectural-lighting.com/</x:v>
      </x:c>
    </x:row>
    <x:row r="71">
      <x:c r="A71" s="32" t="n">
        <x:v>67</x:v>
      </x:c>
      <x:c r="B71" s="32" t="str">
        <x:v>의료·뷰티</x:v>
      </x:c>
      <x:c r="C71" s="32" t="str">
        <x:v>헤어살롱</x:v>
      </x:c>
      <x:c r="D71" s="32" t="str">
        <x:v>500–750</x:v>
      </x:c>
      <x:c r="E71" s="38" t="n">
        <x:v>500</x:v>
      </x:c>
      <x:c r="F71" s="38" t="n">
        <x:v>750</x:v>
      </x:c>
      <x:c r="G71" s="32" t="str">
        <x:v>Neutral</x:v>
      </x:c>
      <x:c r="H71" s="36" t="n">
        <x:v>0.06</x:v>
      </x:c>
      <x:c r="I71" s="36" t="n">
        <x:v>0.1</x:v>
      </x:c>
      <x:c r="J71" s="36" t="n">
        <x:f>E71*H71</x:f>
        <x:v>30</x:v>
      </x:c>
      <x:c r="K71" s="36" t="n">
        <x:f>F71*I71</x:f>
        <x:v>75</x:v>
      </x:c>
      <x:c r="L71" s="36" t="n">
        <x:f>(J71+K71)/2</x:f>
        <x:v>52.5</x:v>
      </x:c>
      <x:c r="M71" s="36" t="n">
        <x:f>L71*0.0036</x:f>
        <x:v>0.189</x:v>
      </x:c>
      <x:c r="N71" s="32" t="str">
        <x:v>중간</x:v>
      </x:c>
      <x:c r="O71" s="34" t="str">
        <x:v>색상·디테일 확인 필요</x:v>
      </x:c>
      <x:c r="P71" s="34" t="str">
        <x:v>https://www.chinaelectric.com.tw/knowledge_detail.php?nid=6</x:v>
      </x:c>
    </x:row>
    <x:row r="72">
      <x:c r="A72" s="32" t="n">
        <x:v>68</x:v>
      </x:c>
      <x:c r="B72" s="32" t="str">
        <x:v>의료·뷰티</x:v>
      </x:c>
      <x:c r="C72" s="32" t="str">
        <x:v>피부관리실</x:v>
      </x:c>
      <x:c r="D72" s="32" t="str">
        <x:v>300–500</x:v>
      </x:c>
      <x:c r="E72" s="38" t="n">
        <x:v>300</x:v>
      </x:c>
      <x:c r="F72" s="38" t="n">
        <x:v>500</x:v>
      </x:c>
      <x:c r="G72" s="32" t="str">
        <x:v>Warm</x:v>
      </x:c>
      <x:c r="H72" s="36" t="n">
        <x:v>0.04</x:v>
      </x:c>
      <x:c r="I72" s="36" t="n">
        <x:v>0.07</x:v>
      </x:c>
      <x:c r="J72" s="36" t="n">
        <x:f>E72*H72</x:f>
        <x:v>12</x:v>
      </x:c>
      <x:c r="K72" s="36" t="n">
        <x:f>F72*I72</x:f>
        <x:v>35</x:v>
      </x:c>
      <x:c r="L72" s="36" t="n">
        <x:f>(J72+K72)/2</x:f>
        <x:v>23.5</x:v>
      </x:c>
      <x:c r="M72" s="36" t="n">
        <x:f>L72*0.0036</x:f>
        <x:v>0.0846</x:v>
      </x:c>
      <x:c r="N72" s="32" t="str">
        <x:v>낮음</x:v>
      </x:c>
      <x:c r="O72" s="34" t="str">
        <x:v>시술 시 별도 국부조명 가능</x:v>
      </x:c>
      <x:c r="P72" s="34" t="str">
        <x:v>https://www.ledvance.com/en-us/professional-lighting/insights/blog/lighting-basics/recommended-lighting-levels</x:v>
      </x:c>
    </x:row>
    <x:row r="73">
      <x:c r="A73" s="32" t="n">
        <x:v>69</x:v>
      </x:c>
      <x:c r="B73" s="32" t="str">
        <x:v>의료·뷰티</x:v>
      </x:c>
      <x:c r="C73" s="32" t="str">
        <x:v>네일숍</x:v>
      </x:c>
      <x:c r="D73" s="32" t="str">
        <x:v>500–1000</x:v>
      </x:c>
      <x:c r="E73" s="38" t="n">
        <x:v>500</x:v>
      </x:c>
      <x:c r="F73" s="38" t="n">
        <x:v>1000</x:v>
      </x:c>
      <x:c r="G73" s="32" t="str">
        <x:v>Cool</x:v>
      </x:c>
      <x:c r="H73" s="36" t="n">
        <x:v>0.08</x:v>
      </x:c>
      <x:c r="I73" s="36" t="n">
        <x:v>0.12</x:v>
      </x:c>
      <x:c r="J73" s="36" t="n">
        <x:f>E73*H73</x:f>
        <x:v>40</x:v>
      </x:c>
      <x:c r="K73" s="36" t="n">
        <x:f>F73*I73</x:f>
        <x:v>120</x:v>
      </x:c>
      <x:c r="L73" s="36" t="n">
        <x:f>(J73+K73)/2</x:f>
        <x:v>80</x:v>
      </x:c>
      <x:c r="M73" s="36" t="n">
        <x:f>L73*0.0036</x:f>
        <x:v>0.288</x:v>
      </x:c>
      <x:c r="N73" s="32" t="str">
        <x:v>높음</x:v>
      </x:c>
      <x:c r="O73" s="34" t="str">
        <x:v>세밀 작업 + 국부 LED</x:v>
      </x:c>
      <x:c r="P73" s="34" t="str">
        <x:v>https://www.china-tasi.com/en/resourceCenterDetail/02e23bacee3b4b83903116fce05f62ff/</x:v>
      </x:c>
    </x:row>
    <x:row r="74">
      <x:c r="A74" s="32" t="n">
        <x:v>70</x:v>
      </x:c>
      <x:c r="B74" s="32" t="str">
        <x:v>의료·뷰티</x:v>
      </x:c>
      <x:c r="C74" s="32" t="str">
        <x:v>메이크업 스튜디오</x:v>
      </x:c>
      <x:c r="D74" s="32" t="str">
        <x:v>750–1500</x:v>
      </x:c>
      <x:c r="E74" s="38" t="n">
        <x:v>750</x:v>
      </x:c>
      <x:c r="F74" s="38" t="n">
        <x:v>1500</x:v>
      </x:c>
      <x:c r="G74" s="32" t="str">
        <x:v>Neutral</x:v>
      </x:c>
      <x:c r="H74" s="36" t="n">
        <x:v>0.06</x:v>
      </x:c>
      <x:c r="I74" s="36" t="n">
        <x:v>0.1</x:v>
      </x:c>
      <x:c r="J74" s="36" t="n">
        <x:f>E74*H74</x:f>
        <x:v>45</x:v>
      </x:c>
      <x:c r="K74" s="36" t="n">
        <x:f>F74*I74</x:f>
        <x:v>150</x:v>
      </x:c>
      <x:c r="L74" s="36" t="n">
        <x:f>(J74+K74)/2</x:f>
        <x:v>97.5</x:v>
      </x:c>
      <x:c r="M74" s="36" t="n">
        <x:f>L74*0.0036</x:f>
        <x:v>0.351</x:v>
      </x:c>
      <x:c r="N74" s="32" t="str">
        <x:v>높음</x:v>
      </x:c>
      <x:c r="O74" s="34" t="str">
        <x:v>얼굴 수직조도·고연색 조명 중요</x:v>
      </x:c>
      <x:c r="P74" s="34" t="str">
        <x:v>https://www.china-tasi.com/en/resourceCenterDetail/02e23bacee3b4b83903116fce05f62ff/</x:v>
      </x:c>
    </x:row>
    <x:row r="75">
      <x:c r="A75" s="32" t="n">
        <x:v>71</x:v>
      </x:c>
      <x:c r="B75" s="32" t="str">
        <x:v>식음·숙박</x:v>
      </x:c>
      <x:c r="C75" s="32" t="str">
        <x:v>카페</x:v>
      </x:c>
      <x:c r="D75" s="32" t="str">
        <x:v>100–300</x:v>
      </x:c>
      <x:c r="E75" s="38" t="n">
        <x:v>100</x:v>
      </x:c>
      <x:c r="F75" s="38" t="n">
        <x:v>300</x:v>
      </x:c>
      <x:c r="G75" s="32" t="str">
        <x:v>Warm</x:v>
      </x:c>
      <x:c r="H75" s="36" t="n">
        <x:v>0.04</x:v>
      </x:c>
      <x:c r="I75" s="36" t="n">
        <x:v>0.07</x:v>
      </x:c>
      <x:c r="J75" s="36" t="n">
        <x:f>E75*H75</x:f>
        <x:v>4</x:v>
      </x:c>
      <x:c r="K75" s="36" t="n">
        <x:f>F75*I75</x:f>
        <x:v>21.000000000000004</x:v>
      </x:c>
      <x:c r="L75" s="36" t="n">
        <x:f>(J75+K75)/2</x:f>
        <x:v>12.500000000000002</x:v>
      </x:c>
      <x:c r="M75" s="36" t="n">
        <x:f>L75*0.0036</x:f>
        <x:v>0.045000000000000005</x:v>
      </x:c>
      <x:c r="N75" s="32" t="str">
        <x:v>낮음</x:v>
      </x:c>
      <x:c r="O75" s="34" t="str">
        <x:v>일반 카페 권장 범위</x:v>
      </x:c>
      <x:c r="P75" s="34" t="str">
        <x:v>https://www.china-tasi.com/en/resourceCenterDetail/02e23bacee3b4b83903116fce05f62ff/</x:v>
      </x:c>
    </x:row>
    <x:row r="76">
      <x:c r="A76" s="32" t="n">
        <x:v>72</x:v>
      </x:c>
      <x:c r="B76" s="32" t="str">
        <x:v>식음·숙박</x:v>
      </x:c>
      <x:c r="C76" s="32" t="str">
        <x:v>스터디형 카페</x:v>
      </x:c>
      <x:c r="D76" s="32" t="str">
        <x:v>300–500</x:v>
      </x:c>
      <x:c r="E76" s="38" t="n">
        <x:v>300</x:v>
      </x:c>
      <x:c r="F76" s="38" t="n">
        <x:v>500</x:v>
      </x:c>
      <x:c r="G76" s="32" t="str">
        <x:v>Neutral</x:v>
      </x:c>
      <x:c r="H76" s="36" t="n">
        <x:v>0.06</x:v>
      </x:c>
      <x:c r="I76" s="36" t="n">
        <x:v>0.1</x:v>
      </x:c>
      <x:c r="J76" s="36" t="n">
        <x:f>E76*H76</x:f>
        <x:v>18</x:v>
      </x:c>
      <x:c r="K76" s="36" t="n">
        <x:f>F76*I76</x:f>
        <x:v>50</x:v>
      </x:c>
      <x:c r="L76" s="36" t="n">
        <x:f>(J76+K76)/2</x:f>
        <x:v>34</x:v>
      </x:c>
      <x:c r="M76" s="36" t="n">
        <x:f>L76*0.0036</x:f>
        <x:v>0.1224</x:v>
      </x:c>
      <x:c r="N76" s="32" t="str">
        <x:v>중간</x:v>
      </x:c>
      <x:c r="O76" s="34" t="str">
        <x:v>학습·노트북 사용 고려</x:v>
      </x:c>
      <x:c r="P76" s="34" t="str">
        <x:v>https://www.researchgate.net/publication/408264906_An_Evaluation_of_Lighting_Design_Performance_in_Cafes_as_Informal_Learning_Spaces</x:v>
      </x:c>
    </x:row>
    <x:row r="77">
      <x:c r="A77" s="32" t="n">
        <x:v>73</x:v>
      </x:c>
      <x:c r="B77" s="32" t="str">
        <x:v>식음·숙박</x:v>
      </x:c>
      <x:c r="C77" s="32" t="str">
        <x:v>베이커리 카페</x:v>
      </x:c>
      <x:c r="D77" s="32" t="str">
        <x:v>200–500</x:v>
      </x:c>
      <x:c r="E77" s="38" t="n">
        <x:v>200</x:v>
      </x:c>
      <x:c r="F77" s="38" t="n">
        <x:v>500</x:v>
      </x:c>
      <x:c r="G77" s="32" t="str">
        <x:v>Warm</x:v>
      </x:c>
      <x:c r="H77" s="36" t="n">
        <x:v>0.04</x:v>
      </x:c>
      <x:c r="I77" s="36" t="n">
        <x:v>0.07</x:v>
      </x:c>
      <x:c r="J77" s="36" t="n">
        <x:f>E77*H77</x:f>
        <x:v>8</x:v>
      </x:c>
      <x:c r="K77" s="36" t="n">
        <x:f>F77*I77</x:f>
        <x:v>35</x:v>
      </x:c>
      <x:c r="L77" s="36" t="n">
        <x:f>(J77+K77)/2</x:f>
        <x:v>21.5</x:v>
      </x:c>
      <x:c r="M77" s="36" t="n">
        <x:f>L77*0.0036</x:f>
        <x:v>0.0774</x:v>
      </x:c>
      <x:c r="N77" s="32" t="str">
        <x:v>낮음</x:v>
      </x:c>
      <x:c r="O77" s="34" t="str">
        <x:v>상품 진열 조명 포함</x:v>
      </x:c>
      <x:c r="P77" s="34" t="str">
        <x:v>https://www.tlc-direct.co.uk/Technical/DataSheets/Illuma/LightLevels.htm</x:v>
      </x:c>
    </x:row>
    <x:row r="78">
      <x:c r="A78" s="32" t="n">
        <x:v>74</x:v>
      </x:c>
      <x:c r="B78" s="32" t="str">
        <x:v>식음·숙박</x:v>
      </x:c>
      <x:c r="C78" s="32" t="str">
        <x:v>패스트푸드점</x:v>
      </x:c>
      <x:c r="D78" s="32" t="str">
        <x:v>200–500</x:v>
      </x:c>
      <x:c r="E78" s="38" t="n">
        <x:v>200</x:v>
      </x:c>
      <x:c r="F78" s="38" t="n">
        <x:v>500</x:v>
      </x:c>
      <x:c r="G78" s="32" t="str">
        <x:v>Neutral</x:v>
      </x:c>
      <x:c r="H78" s="36" t="n">
        <x:v>0.06</x:v>
      </x:c>
      <x:c r="I78" s="36" t="n">
        <x:v>0.1</x:v>
      </x:c>
      <x:c r="J78" s="36" t="n">
        <x:f>E78*H78</x:f>
        <x:v>12</x:v>
      </x:c>
      <x:c r="K78" s="36" t="n">
        <x:f>F78*I78</x:f>
        <x:v>50</x:v>
      </x:c>
      <x:c r="L78" s="36" t="n">
        <x:f>(J78+K78)/2</x:f>
        <x:v>31</x:v>
      </x:c>
      <x:c r="M78" s="36" t="n">
        <x:f>L78*0.0036</x:f>
        <x:v>0.11159999999999999</x:v>
      </x:c>
      <x:c r="N78" s="32" t="str">
        <x:v>중간</x:v>
      </x:c>
      <x:c r="O78" s="34" t="str">
        <x:v>밝은 식사·주문 환경</x:v>
      </x:c>
      <x:c r="P78" s="34" t="str">
        <x:v>https://www.tlc-direct.co.uk/Technical/DataSheets/Illuma/LightLevels.htm</x:v>
      </x:c>
    </x:row>
    <x:row r="79">
      <x:c r="A79" s="32" t="n">
        <x:v>75</x:v>
      </x:c>
      <x:c r="B79" s="32" t="str">
        <x:v>식음·숙박</x:v>
      </x:c>
      <x:c r="C79" s="32" t="str">
        <x:v>푸드코트</x:v>
      </x:c>
      <x:c r="D79" s="32" t="str">
        <x:v>200–500</x:v>
      </x:c>
      <x:c r="E79" s="38" t="n">
        <x:v>200</x:v>
      </x:c>
      <x:c r="F79" s="38" t="n">
        <x:v>500</x:v>
      </x:c>
      <x:c r="G79" s="32" t="str">
        <x:v>Neutral</x:v>
      </x:c>
      <x:c r="H79" s="36" t="n">
        <x:v>0.06</x:v>
      </x:c>
      <x:c r="I79" s="36" t="n">
        <x:v>0.1</x:v>
      </x:c>
      <x:c r="J79" s="36" t="n">
        <x:f>E79*H79</x:f>
        <x:v>12</x:v>
      </x:c>
      <x:c r="K79" s="36" t="n">
        <x:f>F79*I79</x:f>
        <x:v>50</x:v>
      </x:c>
      <x:c r="L79" s="36" t="n">
        <x:f>(J79+K79)/2</x:f>
        <x:v>31</x:v>
      </x:c>
      <x:c r="M79" s="36" t="n">
        <x:f>L79*0.0036</x:f>
        <x:v>0.11159999999999999</x:v>
      </x:c>
      <x:c r="N79" s="32" t="str">
        <x:v>중간</x:v>
      </x:c>
      <x:c r="O79" s="34" t="str">
        <x:v>공용 식음 공간</x:v>
      </x:c>
      <x:c r="P79" s="34" t="str">
        <x:v>https://www.tlc-direct.co.uk/Technical/DataSheets/Illuma/LightLevels.htm</x:v>
      </x:c>
    </x:row>
    <x:row r="80">
      <x:c r="A80" s="32" t="n">
        <x:v>76</x:v>
      </x:c>
      <x:c r="B80" s="32" t="str">
        <x:v>식음·숙박</x:v>
      </x:c>
      <x:c r="C80" s="32" t="str">
        <x:v>캐주얼 레스토랑</x:v>
      </x:c>
      <x:c r="D80" s="32" t="str">
        <x:v>150–300</x:v>
      </x:c>
      <x:c r="E80" s="38" t="n">
        <x:v>150</x:v>
      </x:c>
      <x:c r="F80" s="38" t="n">
        <x:v>300</x:v>
      </x:c>
      <x:c r="G80" s="32" t="str">
        <x:v>Warm</x:v>
      </x:c>
      <x:c r="H80" s="36" t="n">
        <x:v>0.04</x:v>
      </x:c>
      <x:c r="I80" s="36" t="n">
        <x:v>0.07</x:v>
      </x:c>
      <x:c r="J80" s="36" t="n">
        <x:f>E80*H80</x:f>
        <x:v>6</x:v>
      </x:c>
      <x:c r="K80" s="36" t="n">
        <x:f>F80*I80</x:f>
        <x:v>21.000000000000004</x:v>
      </x:c>
      <x:c r="L80" s="36" t="n">
        <x:f>(J80+K80)/2</x:f>
        <x:v>13.500000000000002</x:v>
      </x:c>
      <x:c r="M80" s="36" t="n">
        <x:f>L80*0.0036</x:f>
        <x:v>0.048600000000000004</x:v>
      </x:c>
      <x:c r="N80" s="32" t="str">
        <x:v>낮음</x:v>
      </x:c>
      <x:c r="O80" s="34" t="str">
        <x:v>일반 다이닝</x:v>
      </x:c>
      <x:c r="P80" s="34" t="str">
        <x:v>https://architectural-lighting.com/</x:v>
      </x:c>
    </x:row>
    <x:row r="81">
      <x:c r="A81" s="32" t="n">
        <x:v>77</x:v>
      </x:c>
      <x:c r="B81" s="32" t="str">
        <x:v>식음·숙박</x:v>
      </x:c>
      <x:c r="C81" s="32" t="str">
        <x:v>파인다이닝</x:v>
      </x:c>
      <x:c r="D81" s="32" t="str">
        <x:v>50–200</x:v>
      </x:c>
      <x:c r="E81" s="38" t="n">
        <x:v>50</x:v>
      </x:c>
      <x:c r="F81" s="38" t="n">
        <x:v>200</x:v>
      </x:c>
      <x:c r="G81" s="32" t="str">
        <x:v>Warm</x:v>
      </x:c>
      <x:c r="H81" s="36" t="n">
        <x:v>0.04</x:v>
      </x:c>
      <x:c r="I81" s="36" t="n">
        <x:v>0.07</x:v>
      </x:c>
      <x:c r="J81" s="36" t="n">
        <x:f>E81*H81</x:f>
        <x:v>2</x:v>
      </x:c>
      <x:c r="K81" s="36" t="n">
        <x:f>F81*I81</x:f>
        <x:v>14.000000000000002</x:v>
      </x:c>
      <x:c r="L81" s="36" t="n">
        <x:f>(J81+K81)/2</x:f>
        <x:v>8</x:v>
      </x:c>
      <x:c r="M81" s="36" t="n">
        <x:f>L81*0.0036</x:f>
        <x:v>0.0288</x:v>
      </x:c>
      <x:c r="N81" s="32" t="str">
        <x:v>매우 낮음</x:v>
      </x:c>
      <x:c r="O81" s="34" t="str">
        <x:v>낮은 주변조도 + 테이블 액센트</x:v>
      </x:c>
      <x:c r="P81" s="34" t="str">
        <x:v>https://architectural-lighting.com/</x:v>
      </x:c>
    </x:row>
    <x:row r="82">
      <x:c r="A82" s="32" t="n">
        <x:v>78</x:v>
      </x:c>
      <x:c r="B82" s="32" t="str">
        <x:v>식음·숙박</x:v>
      </x:c>
      <x:c r="C82" s="32" t="str">
        <x:v>호텔 로비</x:v>
      </x:c>
      <x:c r="D82" s="32" t="str">
        <x:v>200–500</x:v>
      </x:c>
      <x:c r="E82" s="38" t="n">
        <x:v>200</x:v>
      </x:c>
      <x:c r="F82" s="38" t="n">
        <x:v>500</x:v>
      </x:c>
      <x:c r="G82" s="32" t="str">
        <x:v>Warm</x:v>
      </x:c>
      <x:c r="H82" s="36" t="n">
        <x:v>0.04</x:v>
      </x:c>
      <x:c r="I82" s="36" t="n">
        <x:v>0.07</x:v>
      </x:c>
      <x:c r="J82" s="36" t="n">
        <x:f>E82*H82</x:f>
        <x:v>8</x:v>
      </x:c>
      <x:c r="K82" s="36" t="n">
        <x:f>F82*I82</x:f>
        <x:v>35</x:v>
      </x:c>
      <x:c r="L82" s="36" t="n">
        <x:f>(J82+K82)/2</x:f>
        <x:v>21.5</x:v>
      </x:c>
      <x:c r="M82" s="36" t="n">
        <x:f>L82*0.0036</x:f>
        <x:v>0.0774</x:v>
      </x:c>
      <x:c r="N82" s="32" t="str">
        <x:v>낮음</x:v>
      </x:c>
      <x:c r="O82" s="34" t="str">
        <x:v>환대 공간</x:v>
      </x:c>
      <x:c r="P82" s="34" t="str">
        <x:v>https://www.china-tasi.com/en/resourceCenterDetail/02e23bacee3b4b83903116fce05f62ff/</x:v>
      </x:c>
    </x:row>
    <x:row r="83">
      <x:c r="A83" s="32" t="n">
        <x:v>79</x:v>
      </x:c>
      <x:c r="B83" s="32" t="str">
        <x:v>식음·숙박</x:v>
      </x:c>
      <x:c r="C83" s="32" t="str">
        <x:v>호텔 객실 일반조명</x:v>
      </x:c>
      <x:c r="D83" s="32" t="str">
        <x:v>100–200</x:v>
      </x:c>
      <x:c r="E83" s="38" t="n">
        <x:v>100</x:v>
      </x:c>
      <x:c r="F83" s="38" t="n">
        <x:v>200</x:v>
      </x:c>
      <x:c r="G83" s="32" t="str">
        <x:v>Warm</x:v>
      </x:c>
      <x:c r="H83" s="36" t="n">
        <x:v>0.04</x:v>
      </x:c>
      <x:c r="I83" s="36" t="n">
        <x:v>0.07</x:v>
      </x:c>
      <x:c r="J83" s="36" t="n">
        <x:f>E83*H83</x:f>
        <x:v>4</x:v>
      </x:c>
      <x:c r="K83" s="36" t="n">
        <x:f>F83*I83</x:f>
        <x:v>14.000000000000002</x:v>
      </x:c>
      <x:c r="L83" s="36" t="n">
        <x:f>(J83+K83)/2</x:f>
        <x:v>9</x:v>
      </x:c>
      <x:c r="M83" s="36" t="n">
        <x:f>L83*0.0036</x:f>
        <x:v>0.0324</x:v>
      </x:c>
      <x:c r="N83" s="32" t="str">
        <x:v>매우 낮음</x:v>
      </x:c>
      <x:c r="O83" s="34" t="str">
        <x:v>휴식 중심</x:v>
      </x:c>
      <x:c r="P83" s="34" t="str">
        <x:v>https://www.nchm.gov.in/sites/default/files/2025-12/Facility%20Planning.pdf</x:v>
      </x:c>
    </x:row>
    <x:row r="84">
      <x:c r="A84" s="32" t="n">
        <x:v>80</x:v>
      </x:c>
      <x:c r="B84" s="32" t="str">
        <x:v>식음·숙박</x:v>
      </x:c>
      <x:c r="C84" s="32" t="str">
        <x:v>호텔 욕실/거울</x:v>
      </x:c>
      <x:c r="D84" s="32" t="str">
        <x:v>200–500</x:v>
      </x:c>
      <x:c r="E84" s="38" t="n">
        <x:v>200</x:v>
      </x:c>
      <x:c r="F84" s="38" t="n">
        <x:v>500</x:v>
      </x:c>
      <x:c r="G84" s="32" t="str">
        <x:v>Neutral</x:v>
      </x:c>
      <x:c r="H84" s="36" t="n">
        <x:v>0.06</x:v>
      </x:c>
      <x:c r="I84" s="36" t="n">
        <x:v>0.1</x:v>
      </x:c>
      <x:c r="J84" s="36" t="n">
        <x:f>E84*H84</x:f>
        <x:v>12</x:v>
      </x:c>
      <x:c r="K84" s="36" t="n">
        <x:f>F84*I84</x:f>
        <x:v>50</x:v>
      </x:c>
      <x:c r="L84" s="36" t="n">
        <x:f>(J84+K84)/2</x:f>
        <x:v>31</x:v>
      </x:c>
      <x:c r="M84" s="36" t="n">
        <x:f>L84*0.0036</x:f>
        <x:v>0.11159999999999999</x:v>
      </x:c>
      <x:c r="N84" s="32" t="str">
        <x:v>중간</x:v>
      </x:c>
      <x:c r="O84" s="34" t="str">
        <x:v>거울 주변 수직조도는 더 높을 수 있음</x:v>
      </x:c>
      <x:c r="P84" s="34" t="str">
        <x:v>https://www.lumeoslighting.co.uk/knowledge-hub/hotelrestaurant</x:v>
      </x:c>
    </x:row>
    <x:row r="85">
      <x:c r="A85" s="32" t="n">
        <x:v>81</x:v>
      </x:c>
      <x:c r="B85" s="32" t="str">
        <x:v>식음·숙박</x:v>
      </x:c>
      <x:c r="C85" s="32" t="str">
        <x:v>호텔 회의실</x:v>
      </x:c>
      <x:c r="D85" s="32" t="str">
        <x:v>300–500</x:v>
      </x:c>
      <x:c r="E85" s="38" t="n">
        <x:v>300</x:v>
      </x:c>
      <x:c r="F85" s="38" t="n">
        <x:v>500</x:v>
      </x:c>
      <x:c r="G85" s="32" t="str">
        <x:v>Neutral</x:v>
      </x:c>
      <x:c r="H85" s="36" t="n">
        <x:v>0.06</x:v>
      </x:c>
      <x:c r="I85" s="36" t="n">
        <x:v>0.1</x:v>
      </x:c>
      <x:c r="J85" s="36" t="n">
        <x:f>E85*H85</x:f>
        <x:v>18</x:v>
      </x:c>
      <x:c r="K85" s="36" t="n">
        <x:f>F85*I85</x:f>
        <x:v>50</x:v>
      </x:c>
      <x:c r="L85" s="36" t="n">
        <x:f>(J85+K85)/2</x:f>
        <x:v>34</x:v>
      </x:c>
      <x:c r="M85" s="36" t="n">
        <x:f>L85*0.0036</x:f>
        <x:v>0.1224</x:v>
      </x:c>
      <x:c r="N85" s="32" t="str">
        <x:v>중간</x:v>
      </x:c>
      <x:c r="O85" s="34" t="str">
        <x:v>업무·회의</x:v>
      </x:c>
      <x:c r="P85" s="34" t="str">
        <x:v>https://www.nchm.gov.in/sites/default/files/2025-12/Facility%20Planning.pdf</x:v>
      </x:c>
    </x:row>
    <x:row r="86">
      <x:c r="A86" s="32" t="n">
        <x:v>82</x:v>
      </x:c>
      <x:c r="B86" s="32" t="str">
        <x:v>식음·숙박</x:v>
      </x:c>
      <x:c r="C86" s="32" t="str">
        <x:v>바/라운지</x:v>
      </x:c>
      <x:c r="D86" s="32" t="str">
        <x:v>30–100</x:v>
      </x:c>
      <x:c r="E86" s="38" t="n">
        <x:v>30</x:v>
      </x:c>
      <x:c r="F86" s="38" t="n">
        <x:v>100</x:v>
      </x:c>
      <x:c r="G86" s="32" t="str">
        <x:v>Warm</x:v>
      </x:c>
      <x:c r="H86" s="36" t="n">
        <x:v>0.04</x:v>
      </x:c>
      <x:c r="I86" s="36" t="n">
        <x:v>0.07</x:v>
      </x:c>
      <x:c r="J86" s="36" t="n">
        <x:f>E86*H86</x:f>
        <x:v>1.2</x:v>
      </x:c>
      <x:c r="K86" s="36" t="n">
        <x:f>F86*I86</x:f>
        <x:v>7.000000000000001</x:v>
      </x:c>
      <x:c r="L86" s="36" t="n">
        <x:f>(J86+K86)/2</x:f>
        <x:v>4.1000000000000005</x:v>
      </x:c>
      <x:c r="M86" s="36" t="n">
        <x:f>L86*0.0036</x:f>
        <x:v>0.014760000000000002</x:v>
      </x:c>
      <x:c r="N86" s="32" t="str">
        <x:v>매우 낮음</x:v>
      </x:c>
      <x:c r="O86" s="34" t="str">
        <x:v>낮은 조도·분위기 조명</x:v>
      </x:c>
      <x:c r="P86" s="34" t="str">
        <x:v>https://architectural-lighting.com/</x:v>
      </x:c>
    </x:row>
    <x:row r="87">
      <x:c r="A87" s="32" t="n">
        <x:v>83</x:v>
      </x:c>
      <x:c r="B87" s="32" t="str">
        <x:v>교통·공공</x:v>
      </x:c>
      <x:c r="C87" s="32" t="str">
        <x:v>지하철 역사 대합실</x:v>
      </x:c>
      <x:c r="D87" s="32" t="str">
        <x:v>150–300</x:v>
      </x:c>
      <x:c r="E87" s="38" t="n">
        <x:v>150</x:v>
      </x:c>
      <x:c r="F87" s="38" t="n">
        <x:v>300</x:v>
      </x:c>
      <x:c r="G87" s="32" t="str">
        <x:v>Cool</x:v>
      </x:c>
      <x:c r="H87" s="36" t="n">
        <x:v>0.08</x:v>
      </x:c>
      <x:c r="I87" s="36" t="n">
        <x:v>0.12</x:v>
      </x:c>
      <x:c r="J87" s="36" t="n">
        <x:f>E87*H87</x:f>
        <x:v>12</x:v>
      </x:c>
      <x:c r="K87" s="36" t="n">
        <x:f>F87*I87</x:f>
        <x:v>36</x:v>
      </x:c>
      <x:c r="L87" s="36" t="n">
        <x:f>(J87+K87)/2</x:f>
        <x:v>24</x:v>
      </x:c>
      <x:c r="M87" s="36" t="n">
        <x:f>L87*0.0036</x:f>
        <x:v>0.0864</x:v>
      </x:c>
      <x:c r="N87" s="32" t="str">
        <x:v>낮음</x:v>
      </x:c>
      <x:c r="O87" s="34" t="str">
        <x:v>이동·안내판 시인성 중심</x:v>
      </x:c>
      <x:c r="P87" s="34" t="str">
        <x:v>https://www.tlc-direct.co.uk/Technical/DataSheets/Illuma/LightLevels.htm</x:v>
      </x:c>
    </x:row>
    <x:row r="88">
      <x:c r="A88" s="32" t="n">
        <x:v>84</x:v>
      </x:c>
      <x:c r="B88" s="32" t="str">
        <x:v>교통·공공</x:v>
      </x:c>
      <x:c r="C88" s="32" t="str">
        <x:v>지하철 승강장</x:v>
      </x:c>
      <x:c r="D88" s="32" t="str">
        <x:v>100–200</x:v>
      </x:c>
      <x:c r="E88" s="38" t="n">
        <x:v>100</x:v>
      </x:c>
      <x:c r="F88" s="38" t="n">
        <x:v>200</x:v>
      </x:c>
      <x:c r="G88" s="32" t="str">
        <x:v>Cool</x:v>
      </x:c>
      <x:c r="H88" s="36" t="n">
        <x:v>0.08</x:v>
      </x:c>
      <x:c r="I88" s="36" t="n">
        <x:v>0.12</x:v>
      </x:c>
      <x:c r="J88" s="36" t="n">
        <x:f>E88*H88</x:f>
        <x:v>8</x:v>
      </x:c>
      <x:c r="K88" s="36" t="n">
        <x:f>F88*I88</x:f>
        <x:v>24</x:v>
      </x:c>
      <x:c r="L88" s="36" t="n">
        <x:f>(J88+K88)/2</x:f>
        <x:v>16</x:v>
      </x:c>
      <x:c r="M88" s="36" t="n">
        <x:f>L88*0.0036</x:f>
        <x:v>0.0576</x:v>
      </x:c>
      <x:c r="N88" s="32" t="str">
        <x:v>낮음</x:v>
      </x:c>
      <x:c r="O88" s="34" t="str">
        <x:v>공공 이동공간</x:v>
      </x:c>
      <x:c r="P88" s="34" t="str">
        <x:v>https://www.tlc-direct.co.uk/Technical/DataSheets/Illuma/LightLevels.htm</x:v>
      </x:c>
    </x:row>
    <x:row r="89">
      <x:c r="A89" s="32" t="n">
        <x:v>85</x:v>
      </x:c>
      <x:c r="B89" s="32" t="str">
        <x:v>교통·공공</x:v>
      </x:c>
      <x:c r="C89" s="32" t="str">
        <x:v>기차역 대기실</x:v>
      </x:c>
      <x:c r="D89" s="32" t="str">
        <x:v>200–300</x:v>
      </x:c>
      <x:c r="E89" s="38" t="n">
        <x:v>200</x:v>
      </x:c>
      <x:c r="F89" s="38" t="n">
        <x:v>300</x:v>
      </x:c>
      <x:c r="G89" s="32" t="str">
        <x:v>Cool</x:v>
      </x:c>
      <x:c r="H89" s="36" t="n">
        <x:v>0.08</x:v>
      </x:c>
      <x:c r="I89" s="36" t="n">
        <x:v>0.12</x:v>
      </x:c>
      <x:c r="J89" s="36" t="n">
        <x:f>E89*H89</x:f>
        <x:v>16</x:v>
      </x:c>
      <x:c r="K89" s="36" t="n">
        <x:f>F89*I89</x:f>
        <x:v>36</x:v>
      </x:c>
      <x:c r="L89" s="36" t="n">
        <x:f>(J89+K89)/2</x:f>
        <x:v>26</x:v>
      </x:c>
      <x:c r="M89" s="36" t="n">
        <x:f>L89*0.0036</x:f>
        <x:v>0.0936</x:v>
      </x:c>
      <x:c r="N89" s="32" t="str">
        <x:v>낮음</x:v>
      </x:c>
      <x:c r="O89" s="34" t="str">
        <x:v>대기·안내 공간</x:v>
      </x:c>
      <x:c r="P89" s="34" t="str">
        <x:v>https://www.tlc-direct.co.uk/Technical/DataSheets/Illuma/LightLevels.htm</x:v>
      </x:c>
    </x:row>
    <x:row r="90">
      <x:c r="A90" s="32" t="n">
        <x:v>86</x:v>
      </x:c>
      <x:c r="B90" s="32" t="str">
        <x:v>교통·공공</x:v>
      </x:c>
      <x:c r="C90" s="32" t="str">
        <x:v>공항 체크인 카운터</x:v>
      </x:c>
      <x:c r="D90" s="32" t="str">
        <x:v>300–500</x:v>
      </x:c>
      <x:c r="E90" s="38" t="n">
        <x:v>300</x:v>
      </x:c>
      <x:c r="F90" s="38" t="n">
        <x:v>500</x:v>
      </x:c>
      <x:c r="G90" s="32" t="str">
        <x:v>Cool</x:v>
      </x:c>
      <x:c r="H90" s="36" t="n">
        <x:v>0.08</x:v>
      </x:c>
      <x:c r="I90" s="36" t="n">
        <x:v>0.12</x:v>
      </x:c>
      <x:c r="J90" s="36" t="n">
        <x:f>E90*H90</x:f>
        <x:v>24</x:v>
      </x:c>
      <x:c r="K90" s="36" t="n">
        <x:f>F90*I90</x:f>
        <x:v>60</x:v>
      </x:c>
      <x:c r="L90" s="36" t="n">
        <x:f>(J90+K90)/2</x:f>
        <x:v>42</x:v>
      </x:c>
      <x:c r="M90" s="36" t="n">
        <x:f>L90*0.0036</x:f>
        <x:v>0.1512</x:v>
      </x:c>
      <x:c r="N90" s="32" t="str">
        <x:v>중간</x:v>
      </x:c>
      <x:c r="O90" s="34" t="str">
        <x:v>문서·표시 확인</x:v>
      </x:c>
      <x:c r="P90" s="34" t="str">
        <x:v>https://www.tlc-direct.co.uk/Technical/DataSheets/Illuma/LightLevels.htm</x:v>
      </x:c>
    </x:row>
    <x:row r="91">
      <x:c r="A91" s="32" t="n">
        <x:v>87</x:v>
      </x:c>
      <x:c r="B91" s="32" t="str">
        <x:v>교통·공공</x:v>
      </x:c>
      <x:c r="C91" s="32" t="str">
        <x:v>공항 보안검색대</x:v>
      </x:c>
      <x:c r="D91" s="32" t="str">
        <x:v>300–500</x:v>
      </x:c>
      <x:c r="E91" s="38" t="n">
        <x:v>300</x:v>
      </x:c>
      <x:c r="F91" s="38" t="n">
        <x:v>500</x:v>
      </x:c>
      <x:c r="G91" s="32" t="str">
        <x:v>Cool</x:v>
      </x:c>
      <x:c r="H91" s="36" t="n">
        <x:v>0.08</x:v>
      </x:c>
      <x:c r="I91" s="36" t="n">
        <x:v>0.12</x:v>
      </x:c>
      <x:c r="J91" s="36" t="n">
        <x:f>E91*H91</x:f>
        <x:v>24</x:v>
      </x:c>
      <x:c r="K91" s="36" t="n">
        <x:f>F91*I91</x:f>
        <x:v>60</x:v>
      </x:c>
      <x:c r="L91" s="36" t="n">
        <x:f>(J91+K91)/2</x:f>
        <x:v>42</x:v>
      </x:c>
      <x:c r="M91" s="36" t="n">
        <x:f>L91*0.0036</x:f>
        <x:v>0.1512</x:v>
      </x:c>
      <x:c r="N91" s="32" t="str">
        <x:v>중간</x:v>
      </x:c>
      <x:c r="O91" s="34" t="str">
        <x:v>확인·검사 작업</x:v>
      </x:c>
      <x:c r="P91" s="34" t="str">
        <x:v>https://www.tlc-direct.co.uk/Technical/DataSheets/Illuma/LightLevels.htm</x:v>
      </x:c>
    </x:row>
    <x:row r="92">
      <x:c r="A92" s="32" t="n">
        <x:v>88</x:v>
      </x:c>
      <x:c r="B92" s="32" t="str">
        <x:v>교통·공공</x:v>
      </x:c>
      <x:c r="C92" s="32" t="str">
        <x:v>공항 게이트 대기구역</x:v>
      </x:c>
      <x:c r="D92" s="32" t="str">
        <x:v>200–300</x:v>
      </x:c>
      <x:c r="E92" s="38" t="n">
        <x:v>200</x:v>
      </x:c>
      <x:c r="F92" s="38" t="n">
        <x:v>300</x:v>
      </x:c>
      <x:c r="G92" s="32" t="str">
        <x:v>Cool</x:v>
      </x:c>
      <x:c r="H92" s="36" t="n">
        <x:v>0.08</x:v>
      </x:c>
      <x:c r="I92" s="36" t="n">
        <x:v>0.12</x:v>
      </x:c>
      <x:c r="J92" s="36" t="n">
        <x:f>E92*H92</x:f>
        <x:v>16</x:v>
      </x:c>
      <x:c r="K92" s="36" t="n">
        <x:f>F92*I92</x:f>
        <x:v>36</x:v>
      </x:c>
      <x:c r="L92" s="36" t="n">
        <x:f>(J92+K92)/2</x:f>
        <x:v>26</x:v>
      </x:c>
      <x:c r="M92" s="36" t="n">
        <x:f>L92*0.0036</x:f>
        <x:v>0.0936</x:v>
      </x:c>
      <x:c r="N92" s="32" t="str">
        <x:v>낮음</x:v>
      </x:c>
      <x:c r="O92" s="34" t="str">
        <x:v>대기 + 디지털 사이니지</x:v>
      </x:c>
      <x:c r="P92" s="34" t="str">
        <x:v>https://www.tlc-direct.co.uk/Technical/DataSheets/Illuma/LightLevels.htm</x:v>
      </x:c>
    </x:row>
    <x:row r="93">
      <x:c r="A93" s="32" t="n">
        <x:v>89</x:v>
      </x:c>
      <x:c r="B93" s="32" t="str">
        <x:v>교통·공공</x:v>
      </x:c>
      <x:c r="C93" s="32" t="str">
        <x:v>버스터미널 대합실</x:v>
      </x:c>
      <x:c r="D93" s="32" t="str">
        <x:v>150–300</x:v>
      </x:c>
      <x:c r="E93" s="38" t="n">
        <x:v>150</x:v>
      </x:c>
      <x:c r="F93" s="38" t="n">
        <x:v>300</x:v>
      </x:c>
      <x:c r="G93" s="32" t="str">
        <x:v>Cool</x:v>
      </x:c>
      <x:c r="H93" s="36" t="n">
        <x:v>0.08</x:v>
      </x:c>
      <x:c r="I93" s="36" t="n">
        <x:v>0.12</x:v>
      </x:c>
      <x:c r="J93" s="36" t="n">
        <x:f>E93*H93</x:f>
        <x:v>12</x:v>
      </x:c>
      <x:c r="K93" s="36" t="n">
        <x:f>F93*I93</x:f>
        <x:v>36</x:v>
      </x:c>
      <x:c r="L93" s="36" t="n">
        <x:f>(J93+K93)/2</x:f>
        <x:v>24</x:v>
      </x:c>
      <x:c r="M93" s="36" t="n">
        <x:f>L93*0.0036</x:f>
        <x:v>0.0864</x:v>
      </x:c>
      <x:c r="N93" s="32" t="str">
        <x:v>낮음</x:v>
      </x:c>
      <x:c r="O93" s="34" t="str">
        <x:v>이동·대기 공간</x:v>
      </x:c>
      <x:c r="P93" s="34" t="str">
        <x:v>https://www.tlc-direct.co.uk/Technical/DataSheets/Illuma/LightLevels.htm</x:v>
      </x:c>
    </x:row>
    <x:row r="94">
      <x:c r="A94" s="32" t="n">
        <x:v>90</x:v>
      </x:c>
      <x:c r="B94" s="32" t="str">
        <x:v>교통·공공</x:v>
      </x:c>
      <x:c r="C94" s="32" t="str">
        <x:v>지하 주차장</x:v>
      </x:c>
      <x:c r="D94" s="32" t="str">
        <x:v>50–100</x:v>
      </x:c>
      <x:c r="E94" s="38" t="n">
        <x:v>50</x:v>
      </x:c>
      <x:c r="F94" s="38" t="n">
        <x:v>100</x:v>
      </x:c>
      <x:c r="G94" s="32" t="str">
        <x:v>Cool</x:v>
      </x:c>
      <x:c r="H94" s="36" t="n">
        <x:v>0.08</x:v>
      </x:c>
      <x:c r="I94" s="36" t="n">
        <x:v>0.12</x:v>
      </x:c>
      <x:c r="J94" s="36" t="n">
        <x:f>E94*H94</x:f>
        <x:v>4</x:v>
      </x:c>
      <x:c r="K94" s="36" t="n">
        <x:f>F94*I94</x:f>
        <x:v>12</x:v>
      </x:c>
      <x:c r="L94" s="36" t="n">
        <x:f>(J94+K94)/2</x:f>
        <x:v>8</x:v>
      </x:c>
      <x:c r="M94" s="36" t="n">
        <x:f>L94*0.0036</x:f>
        <x:v>0.0288</x:v>
      </x:c>
      <x:c r="N94" s="32" t="str">
        <x:v>매우 낮음</x:v>
      </x:c>
      <x:c r="O94" s="34" t="str">
        <x:v>기본 안전 조도</x:v>
      </x:c>
      <x:c r="P94" s="34" t="str">
        <x:v>https://www.ledvance.com/en-us/professional-lighting/insights/blog/lighting-basics/recommended-lighting-levels</x:v>
      </x:c>
    </x:row>
    <x:row r="95">
      <x:c r="A95" s="32" t="n">
        <x:v>91</x:v>
      </x:c>
      <x:c r="B95" s="32" t="str">
        <x:v>교통·공공</x:v>
      </x:c>
      <x:c r="C95" s="32" t="str">
        <x:v>공공건물 엘리베이터 홀</x:v>
      </x:c>
      <x:c r="D95" s="32" t="str">
        <x:v>100–300</x:v>
      </x:c>
      <x:c r="E95" s="38" t="n">
        <x:v>100</x:v>
      </x:c>
      <x:c r="F95" s="38" t="n">
        <x:v>300</x:v>
      </x:c>
      <x:c r="G95" s="32" t="str">
        <x:v>Neutral</x:v>
      </x:c>
      <x:c r="H95" s="36" t="n">
        <x:v>0.06</x:v>
      </x:c>
      <x:c r="I95" s="36" t="n">
        <x:v>0.1</x:v>
      </x:c>
      <x:c r="J95" s="36" t="n">
        <x:f>E95*H95</x:f>
        <x:v>6</x:v>
      </x:c>
      <x:c r="K95" s="36" t="n">
        <x:f>F95*I95</x:f>
        <x:v>30</x:v>
      </x:c>
      <x:c r="L95" s="36" t="n">
        <x:f>(J95+K95)/2</x:f>
        <x:v>18</x:v>
      </x:c>
      <x:c r="M95" s="36" t="n">
        <x:f>L95*0.0036</x:f>
        <x:v>0.0648</x:v>
      </x:c>
      <x:c r="N95" s="32" t="str">
        <x:v>낮음</x:v>
      </x:c>
      <x:c r="O95" s="34" t="str">
        <x:v>이동 공간</x:v>
      </x:c>
      <x:c r="P95" s="34" t="str">
        <x:v>https://www.tlc-direct.co.uk/Technical/DataSheets/Illuma/LightLevels.htm</x:v>
      </x:c>
    </x:row>
    <x:row r="96">
      <x:c r="A96" s="32" t="n">
        <x:v>92</x:v>
      </x:c>
      <x:c r="B96" s="32" t="str">
        <x:v>교통·공공</x:v>
      </x:c>
      <x:c r="C96" s="32" t="str">
        <x:v>공공 화장실</x:v>
      </x:c>
      <x:c r="D96" s="32" t="str">
        <x:v>100–300</x:v>
      </x:c>
      <x:c r="E96" s="38" t="n">
        <x:v>100</x:v>
      </x:c>
      <x:c r="F96" s="38" t="n">
        <x:v>300</x:v>
      </x:c>
      <x:c r="G96" s="32" t="str">
        <x:v>Neutral</x:v>
      </x:c>
      <x:c r="H96" s="36" t="n">
        <x:v>0.06</x:v>
      </x:c>
      <x:c r="I96" s="36" t="n">
        <x:v>0.1</x:v>
      </x:c>
      <x:c r="J96" s="36" t="n">
        <x:f>E96*H96</x:f>
        <x:v>6</x:v>
      </x:c>
      <x:c r="K96" s="36" t="n">
        <x:f>F96*I96</x:f>
        <x:v>30</x:v>
      </x:c>
      <x:c r="L96" s="36" t="n">
        <x:f>(J96+K96)/2</x:f>
        <x:v>18</x:v>
      </x:c>
      <x:c r="M96" s="36" t="n">
        <x:f>L96*0.0036</x:f>
        <x:v>0.0648</x:v>
      </x:c>
      <x:c r="N96" s="32" t="str">
        <x:v>낮음</x:v>
      </x:c>
      <x:c r="O96" s="34" t="str">
        <x:v>일반 화장실 조도</x:v>
      </x:c>
      <x:c r="P96" s="34" t="str">
        <x:v>https://www.ledvance.com/en-us/professional-lighting/insights/blog/lighting-basics/recommended-lighting-levels</x:v>
      </x:c>
    </x:row>
    <x:row r="97">
      <x:c r="A97" s="32" t="n">
        <x:v>93</x:v>
      </x:c>
      <x:c r="B97" s="32" t="str">
        <x:v>운동·생활</x:v>
      </x:c>
      <x:c r="C97" s="32" t="str">
        <x:v>헬스장 유산소존</x:v>
      </x:c>
      <x:c r="D97" s="32" t="str">
        <x:v>300–500</x:v>
      </x:c>
      <x:c r="E97" s="38" t="n">
        <x:v>300</x:v>
      </x:c>
      <x:c r="F97" s="38" t="n">
        <x:v>500</x:v>
      </x:c>
      <x:c r="G97" s="32" t="str">
        <x:v>Cool</x:v>
      </x:c>
      <x:c r="H97" s="36" t="n">
        <x:v>0.08</x:v>
      </x:c>
      <x:c r="I97" s="36" t="n">
        <x:v>0.12</x:v>
      </x:c>
      <x:c r="J97" s="36" t="n">
        <x:f>E97*H97</x:f>
        <x:v>24</x:v>
      </x:c>
      <x:c r="K97" s="36" t="n">
        <x:f>F97*I97</x:f>
        <x:v>60</x:v>
      </x:c>
      <x:c r="L97" s="36" t="n">
        <x:f>(J97+K97)/2</x:f>
        <x:v>42</x:v>
      </x:c>
      <x:c r="M97" s="36" t="n">
        <x:f>L97*0.0036</x:f>
        <x:v>0.1512</x:v>
      </x:c>
      <x:c r="N97" s="32" t="str">
        <x:v>중간</x:v>
      </x:c>
      <x:c r="O97" s="34" t="str">
        <x:v>TV/기기 디스플레이 추가 가능</x:v>
      </x:c>
      <x:c r="P97" s="34" t="str">
        <x:v>https://www.ledvance.com/en-us/professional-lighting/insights/blog/lighting-basics/recommended-lighting-levels</x:v>
      </x:c>
    </x:row>
    <x:row r="98">
      <x:c r="A98" s="32" t="n">
        <x:v>94</x:v>
      </x:c>
      <x:c r="B98" s="32" t="str">
        <x:v>운동·생활</x:v>
      </x:c>
      <x:c r="C98" s="32" t="str">
        <x:v>헬스장 웨이트존</x:v>
      </x:c>
      <x:c r="D98" s="32" t="str">
        <x:v>200–300</x:v>
      </x:c>
      <x:c r="E98" s="38" t="n">
        <x:v>200</x:v>
      </x:c>
      <x:c r="F98" s="38" t="n">
        <x:v>300</x:v>
      </x:c>
      <x:c r="G98" s="32" t="str">
        <x:v>Cool</x:v>
      </x:c>
      <x:c r="H98" s="36" t="n">
        <x:v>0.08</x:v>
      </x:c>
      <x:c r="I98" s="36" t="n">
        <x:v>0.12</x:v>
      </x:c>
      <x:c r="J98" s="36" t="n">
        <x:f>E98*H98</x:f>
        <x:v>16</x:v>
      </x:c>
      <x:c r="K98" s="36" t="n">
        <x:f>F98*I98</x:f>
        <x:v>36</x:v>
      </x:c>
      <x:c r="L98" s="36" t="n">
        <x:f>(J98+K98)/2</x:f>
        <x:v>26</x:v>
      </x:c>
      <x:c r="M98" s="36" t="n">
        <x:f>L98*0.0036</x:f>
        <x:v>0.0936</x:v>
      </x:c>
      <x:c r="N98" s="32" t="str">
        <x:v>낮음</x:v>
      </x:c>
      <x:c r="O98" s="34" t="str">
        <x:v>일반 운동 공간</x:v>
      </x:c>
      <x:c r="P98" s="34" t="str">
        <x:v>https://www.ledvance.com/en-us/professional-lighting/insights/blog/lighting-basics/recommended-lighting-levels</x:v>
      </x:c>
    </x:row>
    <x:row r="99">
      <x:c r="A99" s="32" t="n">
        <x:v>95</x:v>
      </x:c>
      <x:c r="B99" s="32" t="str">
        <x:v>운동·생활</x:v>
      </x:c>
      <x:c r="C99" s="32" t="str">
        <x:v>요가/필라테스 스튜디오</x:v>
      </x:c>
      <x:c r="D99" s="32" t="str">
        <x:v>100–300</x:v>
      </x:c>
      <x:c r="E99" s="38" t="n">
        <x:v>100</x:v>
      </x:c>
      <x:c r="F99" s="38" t="n">
        <x:v>300</x:v>
      </x:c>
      <x:c r="G99" s="32" t="str">
        <x:v>Warm</x:v>
      </x:c>
      <x:c r="H99" s="36" t="n">
        <x:v>0.04</x:v>
      </x:c>
      <x:c r="I99" s="36" t="n">
        <x:v>0.07</x:v>
      </x:c>
      <x:c r="J99" s="36" t="n">
        <x:f>E99*H99</x:f>
        <x:v>4</x:v>
      </x:c>
      <x:c r="K99" s="36" t="n">
        <x:f>F99*I99</x:f>
        <x:v>21.000000000000004</x:v>
      </x:c>
      <x:c r="L99" s="36" t="n">
        <x:f>(J99+K99)/2</x:f>
        <x:v>12.500000000000002</x:v>
      </x:c>
      <x:c r="M99" s="36" t="n">
        <x:f>L99*0.0036</x:f>
        <x:v>0.045000000000000005</x:v>
      </x:c>
      <x:c r="N99" s="32" t="str">
        <x:v>낮음</x:v>
      </x:c>
      <x:c r="O99" s="34" t="str">
        <x:v>분위기 조명 비중 큼</x:v>
      </x:c>
      <x:c r="P99" s="34" t="str">
        <x:v>https://www.nchm.gov.in/sites/default/files/2025-12/Facility%20Planning.pdf</x:v>
      </x:c>
    </x:row>
    <x:row r="100">
      <x:c r="A100" s="32" t="n">
        <x:v>96</x:v>
      </x:c>
      <x:c r="B100" s="32" t="str">
        <x:v>운동·생활</x:v>
      </x:c>
      <x:c r="C100" s="32" t="str">
        <x:v>실내 수영장</x:v>
      </x:c>
      <x:c r="D100" s="32" t="str">
        <x:v>200–500</x:v>
      </x:c>
      <x:c r="E100" s="38" t="n">
        <x:v>200</x:v>
      </x:c>
      <x:c r="F100" s="38" t="n">
        <x:v>500</x:v>
      </x:c>
      <x:c r="G100" s="32" t="str">
        <x:v>Cool</x:v>
      </x:c>
      <x:c r="H100" s="36" t="n">
        <x:v>0.08</x:v>
      </x:c>
      <x:c r="I100" s="36" t="n">
        <x:v>0.12</x:v>
      </x:c>
      <x:c r="J100" s="36" t="n">
        <x:f>E100*H100</x:f>
        <x:v>16</x:v>
      </x:c>
      <x:c r="K100" s="36" t="n">
        <x:f>F100*I100</x:f>
        <x:v>60</x:v>
      </x:c>
      <x:c r="L100" s="36" t="n">
        <x:f>(J100+K100)/2</x:f>
        <x:v>38</x:v>
      </x:c>
      <x:c r="M100" s="36" t="n">
        <x:f>L100*0.0036</x:f>
        <x:v>0.1368</x:v>
      </x:c>
      <x:c r="N100" s="32" t="str">
        <x:v>중간</x:v>
      </x:c>
      <x:c r="O100" s="34" t="str">
        <x:v>수면 조도 기준 다양</x:v>
      </x:c>
      <x:c r="P100" s="34" t="str">
        <x:v>https://www.nchm.gov.in/sites/default/files/2025-12/Facility%20Planning.pdf</x:v>
      </x:c>
    </x:row>
    <x:row r="101">
      <x:c r="A101" s="32" t="n">
        <x:v>97</x:v>
      </x:c>
      <x:c r="B101" s="32" t="str">
        <x:v>운동·생활</x:v>
      </x:c>
      <x:c r="C101" s="32" t="str">
        <x:v>실내 농구/다목적 체육관</x:v>
      </x:c>
      <x:c r="D101" s="32" t="str">
        <x:v>300–500</x:v>
      </x:c>
      <x:c r="E101" s="38" t="n">
        <x:v>300</x:v>
      </x:c>
      <x:c r="F101" s="38" t="n">
        <x:v>500</x:v>
      </x:c>
      <x:c r="G101" s="32" t="str">
        <x:v>Cool</x:v>
      </x:c>
      <x:c r="H101" s="36" t="n">
        <x:v>0.08</x:v>
      </x:c>
      <x:c r="I101" s="36" t="n">
        <x:v>0.12</x:v>
      </x:c>
      <x:c r="J101" s="36" t="n">
        <x:f>E101*H101</x:f>
        <x:v>24</x:v>
      </x:c>
      <x:c r="K101" s="36" t="n">
        <x:f>F101*I101</x:f>
        <x:v>60</x:v>
      </x:c>
      <x:c r="L101" s="36" t="n">
        <x:f>(J101+K101)/2</x:f>
        <x:v>42</x:v>
      </x:c>
      <x:c r="M101" s="36" t="n">
        <x:f>L101*0.0036</x:f>
        <x:v>0.1512</x:v>
      </x:c>
      <x:c r="N101" s="32" t="str">
        <x:v>중간</x:v>
      </x:c>
      <x:c r="O101" s="34" t="str">
        <x:v>스포츠 경기·훈련</x:v>
      </x:c>
      <x:c r="P101" s="34" t="str">
        <x:v>https://www.ledvance.com/en-us/professional-lighting/insights/blog/lighting-basics/recommended-lighting-levels</x:v>
      </x:c>
    </x:row>
    <x:row r="102">
      <x:c r="A102" s="32" t="n">
        <x:v>98</x:v>
      </x:c>
      <x:c r="B102" s="32" t="str">
        <x:v>운동·생활</x:v>
      </x:c>
      <x:c r="C102" s="32" t="str">
        <x:v>가정 거실 일반조명</x:v>
      </x:c>
      <x:c r="D102" s="32" t="str">
        <x:v>30–60</x:v>
      </x:c>
      <x:c r="E102" s="38" t="n">
        <x:v>30</x:v>
      </x:c>
      <x:c r="F102" s="38" t="n">
        <x:v>60</x:v>
      </x:c>
      <x:c r="G102" s="32" t="str">
        <x:v>Warm</x:v>
      </x:c>
      <x:c r="H102" s="36" t="n">
        <x:v>0.04</x:v>
      </x:c>
      <x:c r="I102" s="36" t="n">
        <x:v>0.07</x:v>
      </x:c>
      <x:c r="J102" s="36" t="n">
        <x:f>E102*H102</x:f>
        <x:v>1.2</x:v>
      </x:c>
      <x:c r="K102" s="36" t="n">
        <x:f>F102*I102</x:f>
        <x:v>4.2</x:v>
      </x:c>
      <x:c r="L102" s="36" t="n">
        <x:f>(J102+K102)/2</x:f>
        <x:v>2.7</x:v>
      </x:c>
      <x:c r="M102" s="36" t="n">
        <x:f>L102*0.0036</x:f>
        <x:v>0.009720000000000001</x:v>
      </x:c>
      <x:c r="N102" s="32" t="str">
        <x:v>매우 낮음</x:v>
      </x:c>
      <x:c r="O102" s="34" t="str">
        <x:v>KS 주택 전체 조도 범위</x:v>
      </x:c>
      <x:c r="P102" s="34" t="str">
        <x:v>https://journal.khousing.or.kr/articles/xml/q1wa/</x:v>
      </x:c>
    </x:row>
    <x:row r="103">
      <x:c r="A103" s="32" t="n">
        <x:v>99</x:v>
      </x:c>
      <x:c r="B103" s="32" t="str">
        <x:v>운동·생활</x:v>
      </x:c>
      <x:c r="C103" s="32" t="str">
        <x:v>가정 주방 작업대</x:v>
      </x:c>
      <x:c r="D103" s="32" t="str">
        <x:v>300–500</x:v>
      </x:c>
      <x:c r="E103" s="38" t="n">
        <x:v>300</x:v>
      </x:c>
      <x:c r="F103" s="38" t="n">
        <x:v>500</x:v>
      </x:c>
      <x:c r="G103" s="32" t="str">
        <x:v>Neutral</x:v>
      </x:c>
      <x:c r="H103" s="36" t="n">
        <x:v>0.06</x:v>
      </x:c>
      <x:c r="I103" s="36" t="n">
        <x:v>0.1</x:v>
      </x:c>
      <x:c r="J103" s="36" t="n">
        <x:f>E103*H103</x:f>
        <x:v>18</x:v>
      </x:c>
      <x:c r="K103" s="36" t="n">
        <x:f>F103*I103</x:f>
        <x:v>50</x:v>
      </x:c>
      <x:c r="L103" s="36" t="n">
        <x:f>(J103+K103)/2</x:f>
        <x:v>34</x:v>
      </x:c>
      <x:c r="M103" s="36" t="n">
        <x:f>L103*0.0036</x:f>
        <x:v>0.1224</x:v>
      </x:c>
      <x:c r="N103" s="32" t="str">
        <x:v>중간</x:v>
      </x:c>
      <x:c r="O103" s="34" t="str">
        <x:v>조리 작업면</x:v>
      </x:c>
      <x:c r="P103" s="34" t="str">
        <x:v>https://www.tlc-direct.co.uk/Technical/DataSheets/Illuma/LightLevels.htm</x:v>
      </x:c>
    </x:row>
    <x:row r="104">
      <x:c r="A104" s="32" t="n">
        <x:v>100</x:v>
      </x:c>
      <x:c r="B104" s="32" t="str">
        <x:v>운동·생활</x:v>
      </x:c>
      <x:c r="C104" s="32" t="str">
        <x:v>가정 재택근무 책상</x:v>
      </x:c>
      <x:c r="D104" s="32" t="str">
        <x:v>300–500</x:v>
      </x:c>
      <x:c r="E104" s="38" t="n">
        <x:v>300</x:v>
      </x:c>
      <x:c r="F104" s="38" t="n">
        <x:v>500</x:v>
      </x:c>
      <x:c r="G104" s="32" t="str">
        <x:v>Neutral</x:v>
      </x:c>
      <x:c r="H104" s="36" t="n">
        <x:v>0.06</x:v>
      </x:c>
      <x:c r="I104" s="36" t="n">
        <x:v>0.1</x:v>
      </x:c>
      <x:c r="J104" s="36" t="n">
        <x:f>E104*H104</x:f>
        <x:v>18</x:v>
      </x:c>
      <x:c r="K104" s="36" t="n">
        <x:f>F104*I104</x:f>
        <x:v>50</x:v>
      </x:c>
      <x:c r="L104" s="36" t="n">
        <x:f>(J104+K104)/2</x:f>
        <x:v>34</x:v>
      </x:c>
      <x:c r="M104" s="36" t="n">
        <x:f>L104*0.0036</x:f>
        <x:v>0.1224</x:v>
      </x:c>
      <x:c r="N104" s="32" t="str">
        <x:v>중간</x:v>
      </x:c>
      <x:c r="O104" s="34" t="str">
        <x:v>책상 조명 + 모니터 직접 노출</x:v>
      </x:c>
      <x:c r="P104" s="34" t="str">
        <x:v>https://www.tlc-direct.co.uk/Technical/DataSheets/Illuma/LightLevels.htm</x:v>
      </x:c>
    </x:row>
  </x:sheetData>
  <x:mergeCells>
    <x:mergeCell ref="A1:P1"/>
    <x:mergeCell ref="A2:P2"/>
  </x:mergeCells>
  <x:conditionalFormatting sqref="N5:N104">
    <x:cfRule type="expression" dxfId="0" priority="1">
      <x:formula>N5="매우 낮음"</x:formula>
    </x:cfRule>
    <x:cfRule type="expression" dxfId="1" priority="2">
      <x:formula>N5="낮음"</x:formula>
    </x:cfRule>
    <x:cfRule type="expression" dxfId="2" priority="3">
      <x:formula>N5="중간"</x:formula>
    </x:cfRule>
    <x:cfRule type="expression" dxfId="3" priority="4">
      <x:formula>N5="높음"</x:formula>
    </x:cfRule>
    <x:cfRule type="expression" dxfId="4" priority="5">
      <x:formula>N5="매우 높음"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3aa75132354a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  <x:col min="4" max="4" width="26" hidden="0" customWidth="1"/>
    <x:col min="5" max="5" width="24" hidden="0" customWidth="1"/>
    <x:col min="6" max="6" width="24" hidden="0" customWidth="1"/>
  </x:cols>
  <x:sheetData>
    <x:row r="1" ht="28" customHeight="1">
      <x:c r="A1" s="5" t="str">
        <x:v>산출 방법 및 과학적 해석</x:v>
      </x:c>
      <x:c r="B1" s="5"/>
      <x:c r="C1" s="5"/>
      <x:c r="D1" s="5"/>
      <x:c r="E1" s="5"/>
      <x:c r="F1" s="5"/>
    </x:row>
    <x:row r="3">
      <x:c r="A3" s="22" t="str">
        <x:v>조명 톤</x:v>
      </x:c>
      <x:c r="B3" s="22" t="str">
        <x:v>계수_min (µW/cm²/lx)</x:v>
      </x:c>
      <x:c r="C3" s="22" t="str">
        <x:v>계수_max (µW/cm²/lx)</x:v>
      </x:c>
      <x:c r="D3" s="22" t="str">
        <x:v>가정</x:v>
      </x:c>
      <x:c r="E3" s="22" t="str">
        <x:v>용도</x:v>
      </x:c>
      <x:c r="F3" s="22" t="str">
        <x:v>주의</x:v>
      </x:c>
    </x:row>
    <x:row r="4">
      <x:c r="A4" s="54" t="str">
        <x:v>설명</x:v>
      </x:c>
      <x:c r="B4" s="54" t="str"/>
      <x:c r="C4" s="54" t="str"/>
      <x:c r="D4" s="54" t="str"/>
      <x:c r="E4" s="54" t="str"/>
      <x:c r="F4" s="54" t="str"/>
    </x:row>
    <x:row r="5">
      <x:c r="A5" s="28" t="str">
        <x:v>Warm</x:v>
      </x:c>
      <x:c r="B5" s="55" t="n">
        <x:v>0.04</x:v>
      </x:c>
      <x:c r="C5" s="55" t="n">
        <x:v>0.07</x:v>
      </x:c>
      <x:c r="D5" s="28" t="str">
        <x:v>대략 2700–3500 K</x:v>
      </x:c>
      <x:c r="E5" s="28" t="str">
        <x:v>따뜻한 실내조명</x:v>
      </x:c>
      <x:c r="F5" s="28" t="str">
        <x:v>낮은 청색 비중 가정</x:v>
      </x:c>
    </x:row>
    <x:row r="6">
      <x:c r="A6" s="28" t="str">
        <x:v>Neutral</x:v>
      </x:c>
      <x:c r="B6" s="55" t="n">
        <x:v>0.06</x:v>
      </x:c>
      <x:c r="C6" s="55" t="n">
        <x:v>0.1</x:v>
      </x:c>
      <x:c r="D6" s="28" t="str">
        <x:v>대략 3500–4500 K</x:v>
      </x:c>
      <x:c r="E6" s="28" t="str">
        <x:v>일반 상업/사무</x:v>
      </x:c>
      <x:c r="F6" s="28" t="str">
        <x:v>중간 청색 비중 가정</x:v>
      </x:c>
    </x:row>
    <x:row r="7">
      <x:c r="A7" s="28" t="str">
        <x:v>Cool</x:v>
      </x:c>
      <x:c r="B7" s="55" t="n">
        <x:v>0.08</x:v>
      </x:c>
      <x:c r="C7" s="55" t="n">
        <x:v>0.12</x:v>
      </x:c>
      <x:c r="D7" s="28" t="str">
        <x:v>대략 4500–6500 K</x:v>
      </x:c>
      <x:c r="E7" s="28" t="str">
        <x:v>학교/병원/매장</x:v>
      </x:c>
      <x:c r="F7" s="28" t="str">
        <x:v>높은 청색 비중 가정</x:v>
      </x:c>
    </x:row>
    <x:row r="8">
      <x:c r="A8" s="28" t="str">
        <x:v>Mixed</x:v>
      </x:c>
      <x:c r="B8" s="55" t="n">
        <x:v>0.04</x:v>
      </x:c>
      <x:c r="C8" s="55" t="n">
        <x:v>0.12</x:v>
      </x:c>
      <x:c r="D8" s="28" t="str">
        <x:v>RGB·영상·혼합광</x:v>
      </x:c>
      <x:c r="E8" s="28" t="str">
        <x:v>엔터테인먼트</x:v>
      </x:c>
      <x:c r="F8" s="28" t="str">
        <x:v>스펙트럼 변동이 커 범위를 넓게 둠</x:v>
      </x:c>
    </x:row>
    <x:row r="9">
      <x:c r="A9" s="28"/>
      <x:c r="B9" s="28"/>
      <x:c r="C9" s="28"/>
      <x:c r="D9" s="28"/>
      <x:c r="E9" s="28"/>
      <x:c r="F9" s="28"/>
    </x:row>
    <x:row r="10">
      <x:c r="A10" s="21" t="str">
        <x:v>핵심 산식</x:v>
      </x:c>
      <x:c r="B10" s="21" t="str">
        <x:v>식</x:v>
      </x:c>
      <x:c r="C10" s="21" t="str">
        <x:v>의미</x:v>
      </x:c>
      <x:c r="D10" s="21" t="str">
        <x:v>문헌 근거</x:v>
      </x:c>
      <x:c r="E10" s="21" t="str">
        <x:v>해석</x:v>
      </x:c>
      <x:c r="F10" s="21" t="str"/>
    </x:row>
    <x:row r="11">
      <x:c r="A11" s="28" t="str">
        <x:v>블루라이트 최소</x:v>
      </x:c>
      <x:c r="B11" s="28" t="str">
        <x:v>최소 lux × 계수_min</x:v>
      </x:c>
      <x:c r="C11" s="28" t="str">
        <x:v>400–500 nm 비가중 조사량의 비교용 하한</x:v>
      </x:c>
      <x:c r="D11" s="28" t="str">
        <x:v>Christensen et al. 2021</x:v>
      </x:c>
      <x:c r="E11" s="28" t="str"/>
      <x:c r="F11" s="28" t="str"/>
    </x:row>
    <x:row r="12">
      <x:c r="A12" s="28" t="str">
        <x:v>블루라이트 최대</x:v>
      </x:c>
      <x:c r="B12" s="28" t="str">
        <x:v>최대 lux × 계수_max</x:v>
      </x:c>
      <x:c r="C12" s="28" t="str">
        <x:v>400–500 nm 비가중 조사량의 비교용 상한</x:v>
      </x:c>
      <x:c r="D12" s="28" t="str">
        <x:v>Christensen et al. 2021</x:v>
      </x:c>
      <x:c r="E12" s="28" t="str"/>
      <x:c r="F12" s="28" t="str"/>
    </x:row>
    <x:row r="13">
      <x:c r="A13" s="28" t="str">
        <x:v>중간값</x:v>
      </x:c>
      <x:c r="B13" s="28" t="str">
        <x:v>(최소+최대)/2</x:v>
      </x:c>
      <x:c r="C13" s="28" t="str">
        <x:v>장소 간 상대 비교용 대표값</x:v>
      </x:c>
      <x:c r="D13" s="28" t="str"/>
      <x:c r="E13" s="28" t="str"/>
      <x:c r="F13" s="28" t="str"/>
    </x:row>
    <x:row r="14">
      <x:c r="A14" s="28" t="str">
        <x:v>1시간 누적량</x:v>
      </x:c>
      <x:c r="B14" s="28" t="str">
        <x:v>중간값 × 0.0036</x:v>
      </x:c>
      <x:c r="C14" s="28" t="str">
        <x:v>µW/cm²를 1시간 J/cm²로 환산</x:v>
      </x:c>
      <x:c r="D14" s="28" t="str"/>
      <x:c r="E14" s="28" t="str"/>
      <x:c r="F14" s="28" t="str"/>
    </x:row>
    <x:row r="15">
      <x:c r="A15" s="28" t="str">
        <x:v>상대 노출 수준</x:v>
      </x:c>
      <x:c r="B15" s="28" t="str">
        <x:v>&lt;10 / 10–30 / 30–60 / 60–100 / ≥100</x:v>
      </x:c>
      <x:c r="C15" s="28" t="str">
        <x:v>본 표 내부 비교용 등급</x:v>
      </x:c>
      <x:c r="D15" s="28" t="str">
        <x:v>의학적 위험등급 아님</x:v>
      </x:c>
      <x:c r="E15" s="28" t="str"/>
      <x:c r="F15" s="28" t="str"/>
    </x:row>
    <x:row r="16">
      <x:c r="A16" s="28" t="str">
        <x:v>스크린 영향</x:v>
      </x:c>
      <x:c r="B16" s="28" t="str">
        <x:v>별도</x:v>
      </x:c>
      <x:c r="C16" s="28" t="str">
        <x:v>PC방·스마트폰 매장·관제실 등은 화면 노출이 추가될 수 있음</x:v>
      </x:c>
      <x:c r="D16" s="28" t="str">
        <x:v>전자기기 연구에서 사용자 거리의 청색광은 대체로 수~수십 µW/cm² 범위</x:v>
      </x:c>
      <x:c r="E16" s="28" t="str"/>
      <x:c r="F16" s="28" t="str"/>
    </x:row>
    <x:row r="17">
      <x:c r="A17" s="28"/>
      <x:c r="B17" s="28"/>
      <x:c r="C17" s="28"/>
      <x:c r="D17" s="28"/>
      <x:c r="E17" s="28"/>
      <x:c r="F17" s="28"/>
    </x:row>
    <x:row r="18">
      <x:c r="A18" s="56" t="str">
        <x:v>중요한 한계</x:v>
      </x:c>
      <x:c r="B18" s="56" t="str"/>
      <x:c r="C18" s="56" t="str"/>
      <x:c r="D18" s="56" t="str"/>
      <x:c r="E18" s="56" t="str"/>
      <x:c r="F18" s="56" t="str"/>
    </x:row>
    <x:row r="19">
      <x:c r="A19" s="50" t="str">
        <x:v>Lux는 사람 눈의 밝기 감도에 가중된 광도량이므로, lux만으로 400–500 nm 청색광 조사량을 정확히 환산할 수 없습니다. 정확한 장소별 블루라이트 수치는 분광복사계(spectroradiometer)로 400–500 nm spectral irradiance를 직접 측정해야 합니다. 따라서 이 파일의 수치는 ‘실내 장소 간 비교를 위한 screening estimate’이며, 제품 효능·피부손상·광노화 위험을 입증하는 실측 데이터로 사용하면 안 됩니다. 특히 창문을 통한 자연광이 있는 낮 시간대에는 인공조명보다 자연광이 지배적일 수 있습니다.</x:v>
      </x:c>
      <x:c r="B19" s="50"/>
      <x:c r="C19" s="50"/>
      <x:c r="D19" s="50"/>
      <x:c r="E19" s="50"/>
      <x:c r="F19" s="50"/>
    </x:row>
    <x:row r="20">
      <x:c r="A20" s="50"/>
      <x:c r="B20" s="50"/>
      <x:c r="C20" s="50"/>
      <x:c r="D20" s="50"/>
      <x:c r="E20" s="50"/>
      <x:c r="F20" s="50"/>
    </x:row>
    <x:row r="21">
      <x:c r="A21" s="50"/>
      <x:c r="B21" s="50"/>
      <x:c r="C21" s="50"/>
      <x:c r="D21" s="50"/>
      <x:c r="E21" s="50"/>
      <x:c r="F21" s="50"/>
    </x:row>
    <x:row r="22">
      <x:c r="A22" s="50"/>
      <x:c r="B22" s="50"/>
      <x:c r="C22" s="50"/>
      <x:c r="D22" s="50"/>
      <x:c r="E22" s="50"/>
      <x:c r="F22" s="50"/>
    </x:row>
    <x:row r="23">
      <x:c r="A23" s="28"/>
      <x:c r="B23" s="28"/>
      <x:c r="C23" s="28"/>
      <x:c r="D23" s="28"/>
      <x:c r="E23" s="28"/>
      <x:c r="F23" s="28"/>
    </x:row>
    <x:row r="24">
      <x:c r="A24" s="21" t="str">
        <x:v>주요 근거</x:v>
      </x:c>
      <x:c r="B24" s="21" t="str">
        <x:v>URL</x:v>
      </x:c>
      <x:c r="C24" s="21" t="str">
        <x:v>핵심 내용</x:v>
      </x:c>
      <x:c r="D24" s="28"/>
      <x:c r="E24" s="28"/>
      <x:c r="F24" s="28"/>
    </x:row>
    <x:row r="25">
      <x:c r="A25" s="28" t="str">
        <x:v>Christensen et al., 2021</x:v>
      </x:c>
      <x:c r="B25" s="28" t="str">
        <x:v>https://link.springer.com/article/10.1007/s43630-021-00043-9</x:v>
      </x:c>
      <x:c r="C25" s="28" t="str">
        <x:v>실내 조명/스크린의 violet-blue light(400–500 nm) 조사량 측정. 실내 조명은 500 lx 기준 blue-light-hazard weighted irradiance ≤50 µW/cm². 비가중 400–500 nm와의 비율도 제시.</x:v>
      </x:c>
      <x:c r="D25" s="28"/>
      <x:c r="E25" s="28"/>
      <x:c r="F25" s="28"/>
    </x:row>
    <x:row r="26">
      <x:c r="A26" s="28" t="str">
        <x:v>Dosimetry of screens, 2025</x:v>
      </x:c>
      <x:c r="B26" s="28" t="str">
        <x:v>https://pmc.ncbi.nlm.nih.gov/articles/PMC11761154/</x:v>
      </x:c>
      <x:c r="C26" s="28" t="str">
        <x:v>스마트폰·태블릿·컴퓨터의 blue-light irradiance를 거리/밝기/야간모드별 측정. 전자기기 노출량은 밝기와 거리에 따라 달라짐.</x:v>
      </x:c>
      <x:c r="D26" s="28"/>
      <x:c r="E26" s="28"/>
      <x:c r="F26" s="28"/>
    </x:row>
    <x:row r="27">
      <x:c r="A27" s="28" t="str">
        <x:v>서울 5개 백화점/쇼핑몰 조도 연구</x:v>
      </x:c>
      <x:c r="B27" s="28" t="str">
        <x:v>https://journal.khousing.or.kr/articles/xml/q1wa/</x:v>
      </x:c>
      <x:c r="C27" s="28" t="str">
        <x:v>KS A 3011 상점 조도 및 서울 백화점/쇼핑몰 현장 조도 조사. 백화점 일반매장 600–1500 lx 기준 등.</x:v>
      </x:c>
      <x:c r="D27" s="28"/>
      <x:c r="E27" s="28"/>
      <x:c r="F27" s="28"/>
    </x:row>
    <x:row r="28">
      <x:c r="A28" s="28" t="str">
        <x:v>Cyber café field study</x:v>
      </x:c>
      <x:c r="B28" s="28" t="str">
        <x:v>https://www.researchgate.net/publication/287451747_The_Indoor_Environmental_Quality_in_Cyber_Cafes</x:v>
      </x:c>
      <x:c r="C28" s="28" t="str">
        <x:v>3개 cyber café의 평균 조도 82, 147, 333 lx 보고.</x:v>
      </x:c>
      <x:c r="D28" s="28"/>
      <x:c r="E28" s="28"/>
      <x:c r="F28" s="28"/>
    </x:row>
    <x:row r="29">
      <x:c r="A29" s="28" t="str">
        <x:v>UNIC cinema handbook</x:v>
      </x:c>
      <x:c r="B29" s="28" t="str">
        <x:v>https://www.unic-cinemas.org/fileadmin/user_upload/Publications/UNIC_handbook_online_02_20__1_.pdf</x:v>
      </x:c>
      <x:c r="C29" s="28" t="str">
        <x:v>영화관 객석 조도: 상영 전후/입퇴장 약 50–150 lx, 상영 중 주변조명 0 lx에 근접.</x:v>
      </x:c>
      <x:c r="D29" s="28"/>
      <x:c r="E29" s="28"/>
      <x:c r="F29" s="28"/>
    </x:row>
    <x:row r="30">
      <x:c r="A30" s="28" t="str">
        <x:v>Indoor illuminance reference</x:v>
      </x:c>
      <x:c r="B30" s="28" t="str">
        <x:v>https://www.china-tasi.com/en/resourceCenterDetail/02e23bacee3b4b83903116fce05f62ff/</x:v>
      </x:c>
      <x:c r="C30" s="28" t="str">
        <x:v>사무실·상업·학교·호텔 등 공간별 권장 조도 범위.</x:v>
      </x:c>
      <x:c r="D30" s="28"/>
      <x:c r="E30" s="28"/>
      <x:c r="F30" s="28"/>
    </x:row>
  </x:sheetData>
  <x:mergeCells>
    <x:mergeCell ref="A1:F1"/>
    <x:mergeCell ref="A19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6" hidden="0" customWidth="1"/>
    <x:col min="5" max="5" width="24" hidden="0" customWidth="1"/>
    <x:col min="6" max="6" width="34" hidden="0" customWidth="1"/>
  </x:cols>
  <x:sheetData>
    <x:row r="1">
      <x:c r="A1" s="5" t="str">
        <x:v>추정 블루라이트 상위 15개 장소 (최대값 기준)</x:v>
      </x:c>
      <x:c r="B1" s="5"/>
      <x:c r="C1" s="5"/>
      <x:c r="D1" s="5"/>
      <x:c r="E1" s="5"/>
      <x:c r="F1" s="5"/>
    </x:row>
    <x:row r="3">
      <x:c r="A3" s="21" t="str">
        <x:v>순위</x:v>
      </x:c>
      <x:c r="B3" s="21" t="str">
        <x:v>장소</x:v>
      </x:c>
      <x:c r="C3" s="21" t="str">
        <x:v>대분류</x:v>
      </x:c>
      <x:c r="D3" s="21" t="str">
        <x:v>최대 조도(lx)</x:v>
      </x:c>
      <x:c r="E3" s="21" t="str">
        <x:v>추정 최대 블루라이트 (µW/cm²)</x:v>
      </x:c>
      <x:c r="F3" s="21" t="str">
        <x:v>주의</x:v>
      </x:c>
    </x:row>
    <x:row r="4">
      <x:c r="A4" s="28" t="n">
        <x:v>1</x:v>
      </x:c>
      <x:c r="B4" s="28" t="str">
        <x:v>진찰/처치 시 국부조명</x:v>
      </x:c>
      <x:c r="C4" s="28" t="str">
        <x:v>의료·뷰티</x:v>
      </x:c>
      <x:c r="D4" s="62" t="n">
        <x:v>1500</x:v>
      </x:c>
      <x:c r="E4" s="62" t="n">
        <x:v>180</x:v>
      </x:c>
      <x:c r="F4" s="28" t="str">
        <x:v>상대 비교용 추정치; 실측 아님</x:v>
      </x:c>
    </x:row>
    <x:row r="5">
      <x:c r="A5" s="28" t="n">
        <x:v>2</x:v>
      </x:c>
      <x:c r="B5" s="28" t="str">
        <x:v>백화점 일반 매장</x:v>
      </x:c>
      <x:c r="C5" s="28" t="str">
        <x:v>리테일·상업</x:v>
      </x:c>
      <x:c r="D5" s="62" t="n">
        <x:v>1500</x:v>
      </x:c>
      <x:c r="E5" s="62" t="n">
        <x:v>150</x:v>
      </x:c>
      <x:c r="F5" s="28" t="str">
        <x:v>상대 비교용 추정치; 실측 아님</x:v>
      </x:c>
    </x:row>
    <x:row r="6">
      <x:c r="A6" s="28" t="n">
        <x:v>3</x:v>
      </x:c>
      <x:c r="B6" s="28" t="str">
        <x:v>백화점 화장품 코너</x:v>
      </x:c>
      <x:c r="C6" s="28" t="str">
        <x:v>리테일·상업</x:v>
      </x:c>
      <x:c r="D6" s="62" t="n">
        <x:v>1500</x:v>
      </x:c>
      <x:c r="E6" s="62" t="n">
        <x:v>150</x:v>
      </x:c>
      <x:c r="F6" s="28" t="str">
        <x:v>상대 비교용 추정치; 실측 아님</x:v>
      </x:c>
    </x:row>
    <x:row r="7">
      <x:c r="A7" s="28" t="n">
        <x:v>4</x:v>
      </x:c>
      <x:c r="B7" s="28" t="str">
        <x:v>백화점 안내/상담 코너</x:v>
      </x:c>
      <x:c r="C7" s="28" t="str">
        <x:v>리테일·상업</x:v>
      </x:c>
      <x:c r="D7" s="62" t="n">
        <x:v>1500</x:v>
      </x:c>
      <x:c r="E7" s="62" t="n">
        <x:v>150</x:v>
      </x:c>
      <x:c r="F7" s="28" t="str">
        <x:v>상대 비교용 추정치; 실측 아님</x:v>
      </x:c>
    </x:row>
    <x:row r="8">
      <x:c r="A8" s="28" t="n">
        <x:v>5</x:v>
      </x:c>
      <x:c r="B8" s="28" t="str">
        <x:v>백화점 엘리베이터 홀</x:v>
      </x:c>
      <x:c r="C8" s="28" t="str">
        <x:v>리테일·상업</x:v>
      </x:c>
      <x:c r="D8" s="62" t="n">
        <x:v>1500</x:v>
      </x:c>
      <x:c r="E8" s="62" t="n">
        <x:v>150</x:v>
      </x:c>
      <x:c r="F8" s="28" t="str">
        <x:v>상대 비교용 추정치; 실측 아님</x:v>
      </x:c>
    </x:row>
    <x:row r="9">
      <x:c r="A9" s="28" t="n">
        <x:v>6</x:v>
      </x:c>
      <x:c r="B9" s="28" t="str">
        <x:v>메이크업 스튜디오</x:v>
      </x:c>
      <x:c r="C9" s="28" t="str">
        <x:v>의료·뷰티</x:v>
      </x:c>
      <x:c r="D9" s="62" t="n">
        <x:v>1500</x:v>
      </x:c>
      <x:c r="E9" s="62" t="n">
        <x:v>150</x:v>
      </x:c>
      <x:c r="F9" s="28" t="str">
        <x:v>상대 비교용 추정치; 실측 아님</x:v>
      </x:c>
    </x:row>
    <x:row r="10">
      <x:c r="A10" s="28" t="n">
        <x:v>7</x:v>
      </x:c>
      <x:c r="B10" s="28" t="str">
        <x:v>연구실/전문 실험실</x:v>
      </x:c>
      <x:c r="C10" s="28" t="str">
        <x:v>업무·학습</x:v>
      </x:c>
      <x:c r="D10" s="62" t="n">
        <x:v>1200</x:v>
      </x:c>
      <x:c r="E10" s="62" t="n">
        <x:v>144</x:v>
      </x:c>
      <x:c r="F10" s="28" t="str">
        <x:v>상대 비교용 추정치; 실측 아님</x:v>
      </x:c>
    </x:row>
    <x:row r="11">
      <x:c r="A11" s="28" t="n">
        <x:v>8</x:v>
      </x:c>
      <x:c r="B11" s="28" t="str">
        <x:v>안경원</x:v>
      </x:c>
      <x:c r="C11" s="28" t="str">
        <x:v>리테일·상업</x:v>
      </x:c>
      <x:c r="D11" s="62" t="n">
        <x:v>1000</x:v>
      </x:c>
      <x:c r="E11" s="62" t="n">
        <x:v>120</x:v>
      </x:c>
      <x:c r="F11" s="28" t="str">
        <x:v>상대 비교용 추정치; 실측 아님</x:v>
      </x:c>
    </x:row>
    <x:row r="12">
      <x:c r="A12" s="28" t="n">
        <x:v>9</x:v>
      </x:c>
      <x:c r="B12" s="28" t="str">
        <x:v>전자제품 매장</x:v>
      </x:c>
      <x:c r="C12" s="28" t="str">
        <x:v>리테일·상업</x:v>
      </x:c>
      <x:c r="D12" s="62" t="n">
        <x:v>1000</x:v>
      </x:c>
      <x:c r="E12" s="62" t="n">
        <x:v>120</x:v>
      </x:c>
      <x:c r="F12" s="28" t="str">
        <x:v>상대 비교용 추정치; 실측 아님</x:v>
      </x:c>
    </x:row>
    <x:row r="13">
      <x:c r="A13" s="28" t="n">
        <x:v>10</x:v>
      </x:c>
      <x:c r="B13" s="28" t="str">
        <x:v>스마트폰 매장</x:v>
      </x:c>
      <x:c r="C13" s="28" t="str">
        <x:v>리테일·상업</x:v>
      </x:c>
      <x:c r="D13" s="62" t="n">
        <x:v>1000</x:v>
      </x:c>
      <x:c r="E13" s="62" t="n">
        <x:v>120</x:v>
      </x:c>
      <x:c r="F13" s="28" t="str">
        <x:v>상대 비교용 추정치; 실측 아님</x:v>
      </x:c>
    </x:row>
    <x:row r="14">
      <x:c r="A14" s="28" t="n">
        <x:v>11</x:v>
      </x:c>
      <x:c r="B14" s="28" t="str">
        <x:v>대형마트 식품 코너</x:v>
      </x:c>
      <x:c r="C14" s="28" t="str">
        <x:v>리테일·상업</x:v>
      </x:c>
      <x:c r="D14" s="62" t="n">
        <x:v>1000</x:v>
      </x:c>
      <x:c r="E14" s="62" t="n">
        <x:v>120</x:v>
      </x:c>
      <x:c r="F14" s="28" t="str">
        <x:v>상대 비교용 추정치; 실측 아님</x:v>
      </x:c>
    </x:row>
    <x:row r="15">
      <x:c r="A15" s="28" t="n">
        <x:v>12</x:v>
      </x:c>
      <x:c r="B15" s="28" t="str">
        <x:v>임상검사실</x:v>
      </x:c>
      <x:c r="C15" s="28" t="str">
        <x:v>의료·뷰티</x:v>
      </x:c>
      <x:c r="D15" s="62" t="n">
        <x:v>1000</x:v>
      </x:c>
      <x:c r="E15" s="62" t="n">
        <x:v>120</x:v>
      </x:c>
      <x:c r="F15" s="28" t="str">
        <x:v>상대 비교용 추정치; 실측 아님</x:v>
      </x:c>
    </x:row>
    <x:row r="16">
      <x:c r="A16" s="28" t="n">
        <x:v>13</x:v>
      </x:c>
      <x:c r="B16" s="28" t="str">
        <x:v>치과 진료실 일반조명</x:v>
      </x:c>
      <x:c r="C16" s="28" t="str">
        <x:v>의료·뷰티</x:v>
      </x:c>
      <x:c r="D16" s="62" t="n">
        <x:v>1000</x:v>
      </x:c>
      <x:c r="E16" s="62" t="n">
        <x:v>120</x:v>
      </x:c>
      <x:c r="F16" s="28" t="str">
        <x:v>상대 비교용 추정치; 실측 아님</x:v>
      </x:c>
    </x:row>
    <x:row r="17">
      <x:c r="A17" s="28" t="n">
        <x:v>14</x:v>
      </x:c>
      <x:c r="B17" s="28" t="str">
        <x:v>네일숍</x:v>
      </x:c>
      <x:c r="C17" s="28" t="str">
        <x:v>의료·뷰티</x:v>
      </x:c>
      <x:c r="D17" s="62" t="n">
        <x:v>1000</x:v>
      </x:c>
      <x:c r="E17" s="62" t="n">
        <x:v>120</x:v>
      </x:c>
      <x:c r="F17" s="28" t="str">
        <x:v>상대 비교용 추정치; 실측 아님</x:v>
      </x:c>
    </x:row>
    <x:row r="18">
      <x:c r="A18" s="28" t="n">
        <x:v>15</x:v>
      </x:c>
      <x:c r="B18" s="28" t="str">
        <x:v>주얼리 매장</x:v>
      </x:c>
      <x:c r="C18" s="28" t="str">
        <x:v>리테일·상업</x:v>
      </x:c>
      <x:c r="D18" s="62" t="n">
        <x:v>1000</x:v>
      </x:c>
      <x:c r="E18" s="62" t="n">
        <x:v>100</x:v>
      </x:c>
      <x:c r="F18" s="28" t="str">
        <x:v>상대 비교용 추정치; 실측 아님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0b8f4cff590a440d"/>
</x:worksheet>
</file>